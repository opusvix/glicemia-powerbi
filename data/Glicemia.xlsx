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67616ec4569bf0/Área de Trabalho/"/>
    </mc:Choice>
  </mc:AlternateContent>
  <xr:revisionPtr revIDLastSave="149" documentId="13_ncr:1_{CC2C1082-A351-4E5D-ABDC-0FA0EB7582FD}" xr6:coauthVersionLast="47" xr6:coauthVersionMax="47" xr10:uidLastSave="{33875E7B-081E-40A9-83F7-39B66BAE75BA}"/>
  <bookViews>
    <workbookView xWindow="6510" yWindow="855" windowWidth="22335" windowHeight="11295" xr2:uid="{57A035FD-0B31-4982-8CD0-997F7453673B}"/>
  </bookViews>
  <sheets>
    <sheet name="Glicemia" sheetId="2" r:id="rId1"/>
    <sheet name="Remédi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8" i="1"/>
  <c r="G8" i="1"/>
  <c r="I8" i="1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I3" i="1"/>
  <c r="J3" i="1" s="1"/>
  <c r="I4" i="1"/>
  <c r="I5" i="1"/>
  <c r="I6" i="1"/>
  <c r="I7" i="1"/>
  <c r="I2" i="1"/>
  <c r="G3" i="1"/>
  <c r="G4" i="1"/>
  <c r="G5" i="1"/>
  <c r="G6" i="1"/>
  <c r="G7" i="1"/>
  <c r="G2" i="1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82" i="2"/>
  <c r="B163" i="2"/>
  <c r="B152" i="2"/>
  <c r="B153" i="2"/>
  <c r="B154" i="2"/>
  <c r="B155" i="2"/>
  <c r="B156" i="2"/>
  <c r="B157" i="2"/>
  <c r="B158" i="2"/>
  <c r="B159" i="2"/>
  <c r="B160" i="2"/>
  <c r="B161" i="2"/>
  <c r="B162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2" i="1" l="1"/>
  <c r="J7" i="1"/>
  <c r="J4" i="1"/>
  <c r="J6" i="1"/>
  <c r="J5" i="1"/>
</calcChain>
</file>

<file path=xl/sharedStrings.xml><?xml version="1.0" encoding="utf-8"?>
<sst xmlns="http://schemas.openxmlformats.org/spreadsheetml/2006/main" count="51" uniqueCount="45">
  <si>
    <t>Logo após o café da manhã.</t>
  </si>
  <si>
    <t>Imosec</t>
  </si>
  <si>
    <t>Concor</t>
  </si>
  <si>
    <t>Naprix</t>
  </si>
  <si>
    <t>Trezete</t>
  </si>
  <si>
    <t>Inilok</t>
  </si>
  <si>
    <t>20/10</t>
  </si>
  <si>
    <t>Nesina Met</t>
  </si>
  <si>
    <t>12,5 850</t>
  </si>
  <si>
    <t>Mg</t>
  </si>
  <si>
    <t>Posologia</t>
  </si>
  <si>
    <t>dia</t>
  </si>
  <si>
    <t>Duração</t>
  </si>
  <si>
    <t>Estoque atual</t>
  </si>
  <si>
    <t>Duração Atual</t>
  </si>
  <si>
    <t>Quant. por Caixa</t>
  </si>
  <si>
    <t>Nome</t>
  </si>
  <si>
    <t>Nome Genérico</t>
  </si>
  <si>
    <t>ramipril 5 mg</t>
  </si>
  <si>
    <t>ezetimiba e rosuvastatina cálcica 20/10</t>
  </si>
  <si>
    <t>benzoato de alogliptina + cloridrato de metformina 12,5 / 850 mg</t>
  </si>
  <si>
    <t>data</t>
  </si>
  <si>
    <t>diasem</t>
  </si>
  <si>
    <t>jejum</t>
  </si>
  <si>
    <t>horaJejum</t>
  </si>
  <si>
    <t>preAlmoco</t>
  </si>
  <si>
    <t>horaPreAlmoco</t>
  </si>
  <si>
    <t>preJanta</t>
  </si>
  <si>
    <t>horaPreJanta</t>
  </si>
  <si>
    <t>observacoes</t>
  </si>
  <si>
    <t>Coluna1</t>
  </si>
  <si>
    <t>01/01/2026</t>
  </si>
  <si>
    <t>Forxiga</t>
  </si>
  <si>
    <t>dapagliflozina 10 mg</t>
  </si>
  <si>
    <t>pantoprazol magnésico di-hidratado 40 mg</t>
  </si>
  <si>
    <t>cloridrato de loperamida 2 mg</t>
  </si>
  <si>
    <t>hemifumarato de bisoprolol 2,5 mg</t>
  </si>
  <si>
    <t>Comecei a usar Forxiga 10mg, 1 x dia.</t>
  </si>
  <si>
    <t>Medição realizada 1h20 após o café da manhã.</t>
  </si>
  <si>
    <t>Medição realizada após academia.</t>
  </si>
  <si>
    <t>178 no pós-prandial.</t>
  </si>
  <si>
    <t>No Pretti deu 181 em jejum.</t>
  </si>
  <si>
    <t>insulinaJejum</t>
  </si>
  <si>
    <t>insulinaPreAlmoco</t>
  </si>
  <si>
    <t>insulinaPreJanta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</si>
</sst>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theme="1"/>
      <name val="Segoe UI"/>
      <family val="2"/>
    </font>
    <font>
      <sz val="12"/>
      <name val="Arial"/>
      <family val="2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4" fontId="0" fillId="0" borderId="0" xfId="0" applyNumberForma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 customBuiltin="1"/>
  </cellStyles>
  <dxfs count="27">
    <dxf>
      <font>
        <color rgb="FFFFFF00"/>
      </font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numFmt numFmtId="19" formatCode="dd/mm/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d"/>
      <alignment horizontal="center" vertical="center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B39F6-01C1-4044-AC29-0F0BB4B4BC65}" name="tGlicemia" displayName="tGlicemia" ref="A1:L243" totalsRowShown="0" headerRowDxfId="26" dataDxfId="24" headerRowBorderDxfId="25">
  <autoFilter ref="A1:L243" xr:uid="{ED1B39F6-01C1-4044-AC29-0F0BB4B4BC65}"/>
  <tableColumns count="12">
    <tableColumn id="1" xr3:uid="{17B8CC45-5D7B-4CEA-A213-77F3982FD601}" name="data" dataDxfId="23"/>
    <tableColumn id="2" xr3:uid="{B16F59B9-34C0-49AC-9915-E76C5BD1CA52}" name="diasem" dataDxfId="22">
      <calculatedColumnFormula>WEEKDAY(A2)</calculatedColumnFormula>
    </tableColumn>
    <tableColumn id="3" xr3:uid="{D68909CF-02B1-47A9-B4D1-662ABE998242}" name="jejum" dataDxfId="21"/>
    <tableColumn id="4" xr3:uid="{80AAD8D0-1BC7-4C76-8A87-BAD5919B0703}" name="horaJejum" dataDxfId="20"/>
    <tableColumn id="5" xr3:uid="{62ABEFE7-33FA-4F3D-A5C6-FF222EDF2630}" name="preAlmoco" dataDxfId="19"/>
    <tableColumn id="6" xr3:uid="{F22BC5CD-414C-48AD-9A2B-7AD27D0A9629}" name="horaPreAlmoco" dataDxfId="18"/>
    <tableColumn id="7" xr3:uid="{E6CC7B86-A08B-4293-8280-FC6B2A14DB34}" name="preJanta" dataDxfId="17"/>
    <tableColumn id="8" xr3:uid="{7CBB4848-DD5B-4508-B4FB-2679A5EFCA48}" name="horaPreJanta" dataDxfId="16"/>
    <tableColumn id="9" xr3:uid="{8BF8AF3E-9880-4C50-96E5-D3FF5B236972}" name="observacoes" dataDxfId="15"/>
    <tableColumn id="10" xr3:uid="{2C51EDFE-5726-4975-BACB-B0FA5857D509}" name="insulinaJejum" dataDxfId="14">
      <calculatedColumnFormula>IF((C2)&gt;=180,"sim","nao")</calculatedColumnFormula>
    </tableColumn>
    <tableColumn id="11" xr3:uid="{AA313800-7113-4233-BFD8-56A36E82E272}" name="insulinaPreAlmoco" dataDxfId="13">
      <calculatedColumnFormula>IF((D2)&gt;=180,"sim","nao")</calculatedColumnFormula>
    </tableColumn>
    <tableColumn id="12" xr3:uid="{A9B30238-06EC-401E-AFDE-777981F65B78}" name="insulinaPreJanta" dataDxfId="12">
      <calculatedColumnFormula>IF((E2)&gt;=180,"sim","nao")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CA75A4-8027-458B-BAC0-E8302E1770BF}" name="Tabela2" displayName="Tabela2" ref="B1:K8" totalsRowShown="0">
  <autoFilter ref="B1:K8" xr:uid="{CCCA75A4-8027-458B-BAC0-E8302E1770BF}"/>
  <tableColumns count="10">
    <tableColumn id="1" xr3:uid="{816F261D-3B8F-4FB4-9ED3-2EA8564EC0A6}" name="Nome"/>
    <tableColumn id="2" xr3:uid="{57E13DB0-FF36-45CD-8ABF-DC459CC5FB91}" name="Mg" dataDxfId="11"/>
    <tableColumn id="3" xr3:uid="{7B4B19D3-1EA3-4354-9A75-E2599A4589C0}" name="Quant. por Caixa" dataDxfId="10"/>
    <tableColumn id="4" xr3:uid="{E9409E70-98F6-4BE0-9FE6-64D7DFB0DDEC}" name="Posologia" dataDxfId="9"/>
    <tableColumn id="5" xr3:uid="{70D08B95-00AE-4CA8-B182-013BD37A61A2}" name="Coluna1" dataDxfId="8"/>
    <tableColumn id="6" xr3:uid="{17213FA2-7A86-4800-96D7-02390ACA47EF}" name="Duração" dataDxfId="7">
      <calculatedColumnFormula>D2/E2</calculatedColumnFormula>
    </tableColumn>
    <tableColumn id="7" xr3:uid="{16918A7E-7513-4D49-AC2A-CBD2610CF83D}" name="Estoque atual" dataDxfId="6"/>
    <tableColumn id="8" xr3:uid="{FB136D40-42A1-4037-8590-05AAFC997E84}" name="Duração Atual" dataDxfId="5">
      <calculatedColumnFormula>H2/E2</calculatedColumnFormula>
    </tableColumn>
    <tableColumn id="9" xr3:uid="{047EFF15-DC72-4579-ADA8-A44546BCC3F0}" name="01/01/2026" dataDxfId="4">
      <calculatedColumnFormula>$J$2+I1-1</calculatedColumnFormula>
    </tableColumn>
    <tableColumn id="10" xr3:uid="{88F8C0E8-1D44-4E25-A5F7-41C087DACCAC}" name="Nome Genérico" dataDxfId="3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F8EB-F1F7-43B6-81A7-B2CB8BFF770B}">
  <dimension ref="A1:L243"/>
  <sheetViews>
    <sheetView tabSelected="1" workbookViewId="0">
      <pane ySplit="1" topLeftCell="A209" activePane="bottomLeft" state="frozen"/>
      <selection pane="bottomLeft" activeCell="G214" sqref="G214"/>
    </sheetView>
  </sheetViews>
  <sheetFormatPr defaultRowHeight="16.5" x14ac:dyDescent="0.3"/>
  <cols>
    <col min="1" max="1" width="10.375" style="5" bestFit="1" customWidth="1"/>
    <col min="2" max="2" width="9.25" style="6" customWidth="1"/>
    <col min="3" max="3" width="10" style="7" bestFit="1" customWidth="1"/>
    <col min="4" max="4" width="12.125" style="7" customWidth="1"/>
    <col min="5" max="5" width="14.75" style="7" bestFit="1" customWidth="1"/>
    <col min="6" max="6" width="15.75" style="7" customWidth="1"/>
    <col min="7" max="7" width="12.75" style="7" bestFit="1" customWidth="1"/>
    <col min="8" max="8" width="13.375" style="7" customWidth="1"/>
    <col min="9" max="9" width="24.75" style="21" bestFit="1" customWidth="1"/>
    <col min="10" max="10" width="13.5" style="10" customWidth="1"/>
    <col min="11" max="11" width="17.75" customWidth="1"/>
    <col min="12" max="12" width="16.625" customWidth="1"/>
  </cols>
  <sheetData>
    <row r="1" spans="1:12" s="2" customFormat="1" ht="30" customHeight="1" x14ac:dyDescent="0.3">
      <c r="A1" s="3" t="s">
        <v>21</v>
      </c>
      <c r="B1" s="4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5" t="s">
        <v>29</v>
      </c>
      <c r="J1" s="22" t="s">
        <v>42</v>
      </c>
      <c r="K1" s="22" t="s">
        <v>43</v>
      </c>
      <c r="L1" s="22" t="s">
        <v>44</v>
      </c>
    </row>
    <row r="2" spans="1:12" x14ac:dyDescent="0.3">
      <c r="A2" s="5">
        <v>45812</v>
      </c>
      <c r="B2" s="6">
        <f t="shared" ref="B2:B65" si="0">WEEKDAY(A2)</f>
        <v>4</v>
      </c>
      <c r="C2" s="7">
        <v>168</v>
      </c>
      <c r="D2" s="8">
        <v>0.33333333333333331</v>
      </c>
      <c r="E2" s="7">
        <v>0</v>
      </c>
      <c r="G2" s="7">
        <v>0</v>
      </c>
      <c r="J2" s="10" t="str">
        <f t="shared" ref="J2:J65" si="1">IF((C2)&gt;=180,"sim","nao")</f>
        <v>nao</v>
      </c>
      <c r="K2" s="10" t="str">
        <f t="shared" ref="K2:K65" si="2">IF((D2)&gt;=180,"sim","nao")</f>
        <v>nao</v>
      </c>
      <c r="L2" s="10" t="str">
        <f t="shared" ref="L2:L65" si="3">IF((E2)&gt;=180,"sim","nao")</f>
        <v>nao</v>
      </c>
    </row>
    <row r="3" spans="1:12" x14ac:dyDescent="0.3">
      <c r="A3" s="5">
        <v>45813</v>
      </c>
      <c r="B3" s="6">
        <f t="shared" si="0"/>
        <v>5</v>
      </c>
      <c r="C3" s="7">
        <v>0</v>
      </c>
      <c r="E3" s="7">
        <v>0</v>
      </c>
      <c r="G3" s="7">
        <v>0</v>
      </c>
      <c r="J3" s="10" t="str">
        <f t="shared" si="1"/>
        <v>nao</v>
      </c>
      <c r="K3" s="10" t="str">
        <f t="shared" si="2"/>
        <v>nao</v>
      </c>
      <c r="L3" s="10" t="str">
        <f t="shared" si="3"/>
        <v>nao</v>
      </c>
    </row>
    <row r="4" spans="1:12" x14ac:dyDescent="0.3">
      <c r="A4" s="5">
        <v>45814</v>
      </c>
      <c r="B4" s="6">
        <f t="shared" si="0"/>
        <v>6</v>
      </c>
      <c r="C4" s="7">
        <v>0</v>
      </c>
      <c r="E4" s="7">
        <v>0</v>
      </c>
      <c r="G4" s="7">
        <v>0</v>
      </c>
      <c r="J4" s="10" t="str">
        <f t="shared" si="1"/>
        <v>nao</v>
      </c>
      <c r="K4" s="10" t="str">
        <f t="shared" si="2"/>
        <v>nao</v>
      </c>
      <c r="L4" s="10" t="str">
        <f t="shared" si="3"/>
        <v>nao</v>
      </c>
    </row>
    <row r="5" spans="1:12" x14ac:dyDescent="0.3">
      <c r="A5" s="5">
        <v>45815</v>
      </c>
      <c r="B5" s="6">
        <f t="shared" si="0"/>
        <v>7</v>
      </c>
      <c r="C5" s="7">
        <v>0</v>
      </c>
      <c r="E5" s="7">
        <v>0</v>
      </c>
      <c r="G5" s="7">
        <v>0</v>
      </c>
      <c r="J5" s="10" t="str">
        <f t="shared" si="1"/>
        <v>nao</v>
      </c>
      <c r="K5" s="10" t="str">
        <f t="shared" si="2"/>
        <v>nao</v>
      </c>
      <c r="L5" s="10" t="str">
        <f t="shared" si="3"/>
        <v>nao</v>
      </c>
    </row>
    <row r="6" spans="1:12" ht="33" x14ac:dyDescent="0.3">
      <c r="A6" s="5">
        <v>45816</v>
      </c>
      <c r="B6" s="6">
        <f t="shared" si="0"/>
        <v>1</v>
      </c>
      <c r="C6" s="7">
        <v>190</v>
      </c>
      <c r="D6" s="8">
        <v>0.34722222222222221</v>
      </c>
      <c r="E6" s="7">
        <v>101</v>
      </c>
      <c r="F6" s="8">
        <v>0.47916666666666669</v>
      </c>
      <c r="G6" s="7">
        <v>0</v>
      </c>
      <c r="I6" s="21" t="s">
        <v>38</v>
      </c>
      <c r="J6" s="10" t="str">
        <f t="shared" si="1"/>
        <v>sim</v>
      </c>
      <c r="K6" s="10" t="str">
        <f t="shared" si="2"/>
        <v>nao</v>
      </c>
      <c r="L6" s="10" t="str">
        <f t="shared" si="3"/>
        <v>nao</v>
      </c>
    </row>
    <row r="7" spans="1:12" x14ac:dyDescent="0.3">
      <c r="A7" s="5">
        <v>45817</v>
      </c>
      <c r="B7" s="6">
        <f t="shared" si="0"/>
        <v>2</v>
      </c>
      <c r="C7" s="7">
        <v>0</v>
      </c>
      <c r="E7" s="7">
        <v>0</v>
      </c>
      <c r="G7" s="7">
        <v>0</v>
      </c>
      <c r="J7" s="10" t="str">
        <f t="shared" si="1"/>
        <v>nao</v>
      </c>
      <c r="K7" s="10" t="str">
        <f t="shared" si="2"/>
        <v>nao</v>
      </c>
      <c r="L7" s="10" t="str">
        <f t="shared" si="3"/>
        <v>nao</v>
      </c>
    </row>
    <row r="8" spans="1:12" x14ac:dyDescent="0.3">
      <c r="A8" s="5">
        <v>45818</v>
      </c>
      <c r="B8" s="6">
        <f t="shared" si="0"/>
        <v>3</v>
      </c>
      <c r="C8" s="7">
        <v>0</v>
      </c>
      <c r="E8" s="7">
        <v>127</v>
      </c>
      <c r="F8" s="8">
        <v>0.48958333333333331</v>
      </c>
      <c r="G8" s="7">
        <v>109</v>
      </c>
      <c r="H8" s="8">
        <v>0.79166666666666663</v>
      </c>
      <c r="J8" s="10" t="str">
        <f t="shared" si="1"/>
        <v>nao</v>
      </c>
      <c r="K8" s="10" t="str">
        <f t="shared" si="2"/>
        <v>nao</v>
      </c>
      <c r="L8" s="10" t="str">
        <f t="shared" si="3"/>
        <v>nao</v>
      </c>
    </row>
    <row r="9" spans="1:12" x14ac:dyDescent="0.3">
      <c r="A9" s="5">
        <v>45819</v>
      </c>
      <c r="B9" s="6">
        <f t="shared" si="0"/>
        <v>4</v>
      </c>
      <c r="C9" s="7">
        <v>0</v>
      </c>
      <c r="E9" s="7">
        <v>95</v>
      </c>
      <c r="F9" s="8">
        <v>0.47013888888888888</v>
      </c>
      <c r="G9" s="7">
        <v>0</v>
      </c>
      <c r="J9" s="10" t="str">
        <f t="shared" si="1"/>
        <v>nao</v>
      </c>
      <c r="K9" s="10" t="str">
        <f t="shared" si="2"/>
        <v>nao</v>
      </c>
      <c r="L9" s="10" t="str">
        <f t="shared" si="3"/>
        <v>nao</v>
      </c>
    </row>
    <row r="10" spans="1:12" x14ac:dyDescent="0.3">
      <c r="A10" s="5">
        <v>45820</v>
      </c>
      <c r="B10" s="6">
        <f t="shared" si="0"/>
        <v>5</v>
      </c>
      <c r="C10" s="7">
        <v>0</v>
      </c>
      <c r="E10" s="7">
        <v>28</v>
      </c>
      <c r="F10" s="8">
        <v>0.47847222222222224</v>
      </c>
      <c r="G10" s="7">
        <v>153</v>
      </c>
      <c r="H10" s="8">
        <v>0.75</v>
      </c>
      <c r="J10" s="10" t="str">
        <f t="shared" si="1"/>
        <v>nao</v>
      </c>
      <c r="K10" s="10" t="str">
        <f t="shared" si="2"/>
        <v>nao</v>
      </c>
      <c r="L10" s="10" t="str">
        <f t="shared" si="3"/>
        <v>nao</v>
      </c>
    </row>
    <row r="11" spans="1:12" x14ac:dyDescent="0.3">
      <c r="A11" s="5">
        <v>45821</v>
      </c>
      <c r="B11" s="6">
        <f t="shared" si="0"/>
        <v>6</v>
      </c>
      <c r="C11" s="7">
        <v>0</v>
      </c>
      <c r="E11" s="7">
        <v>96</v>
      </c>
      <c r="F11" s="8">
        <v>0.4777777777777778</v>
      </c>
      <c r="G11" s="7">
        <v>0</v>
      </c>
      <c r="J11" s="10" t="str">
        <f t="shared" si="1"/>
        <v>nao</v>
      </c>
      <c r="K11" s="10" t="str">
        <f t="shared" si="2"/>
        <v>nao</v>
      </c>
      <c r="L11" s="10" t="str">
        <f t="shared" si="3"/>
        <v>nao</v>
      </c>
    </row>
    <row r="12" spans="1:12" x14ac:dyDescent="0.3">
      <c r="A12" s="5">
        <v>45822</v>
      </c>
      <c r="B12" s="6">
        <f t="shared" si="0"/>
        <v>7</v>
      </c>
      <c r="C12" s="7">
        <v>0</v>
      </c>
      <c r="E12" s="7">
        <v>117</v>
      </c>
      <c r="F12" s="8">
        <v>0.4777777777777778</v>
      </c>
      <c r="G12" s="7">
        <v>0</v>
      </c>
      <c r="J12" s="10" t="str">
        <f t="shared" si="1"/>
        <v>nao</v>
      </c>
      <c r="K12" s="10" t="str">
        <f t="shared" si="2"/>
        <v>nao</v>
      </c>
      <c r="L12" s="10" t="str">
        <f t="shared" si="3"/>
        <v>nao</v>
      </c>
    </row>
    <row r="13" spans="1:12" x14ac:dyDescent="0.3">
      <c r="A13" s="5">
        <v>45823</v>
      </c>
      <c r="B13" s="6">
        <f t="shared" si="0"/>
        <v>1</v>
      </c>
      <c r="C13" s="7">
        <v>165</v>
      </c>
      <c r="D13" s="8">
        <v>0.27083333333333331</v>
      </c>
      <c r="E13" s="7">
        <v>109</v>
      </c>
      <c r="F13" s="8">
        <v>0.47708333333333336</v>
      </c>
      <c r="G13" s="7">
        <v>0</v>
      </c>
      <c r="J13" s="10" t="str">
        <f t="shared" si="1"/>
        <v>nao</v>
      </c>
      <c r="K13" s="10" t="str">
        <f t="shared" si="2"/>
        <v>nao</v>
      </c>
      <c r="L13" s="10" t="str">
        <f t="shared" si="3"/>
        <v>nao</v>
      </c>
    </row>
    <row r="14" spans="1:12" x14ac:dyDescent="0.3">
      <c r="A14" s="5">
        <v>45824</v>
      </c>
      <c r="B14" s="6">
        <f t="shared" si="0"/>
        <v>2</v>
      </c>
      <c r="C14" s="7">
        <v>163</v>
      </c>
      <c r="D14" s="8">
        <v>0.25</v>
      </c>
      <c r="E14" s="7">
        <v>110</v>
      </c>
      <c r="F14" s="8">
        <v>0.47708333333333336</v>
      </c>
      <c r="G14" s="7">
        <v>0</v>
      </c>
      <c r="J14" s="10" t="str">
        <f t="shared" si="1"/>
        <v>nao</v>
      </c>
      <c r="K14" s="10" t="str">
        <f t="shared" si="2"/>
        <v>nao</v>
      </c>
      <c r="L14" s="10" t="str">
        <f t="shared" si="3"/>
        <v>nao</v>
      </c>
    </row>
    <row r="15" spans="1:12" x14ac:dyDescent="0.3">
      <c r="A15" s="5">
        <v>45825</v>
      </c>
      <c r="B15" s="6">
        <f t="shared" si="0"/>
        <v>3</v>
      </c>
      <c r="C15" s="7">
        <v>0</v>
      </c>
      <c r="E15" s="7">
        <v>108</v>
      </c>
      <c r="F15" s="8">
        <v>0.4861111111111111</v>
      </c>
      <c r="G15" s="7">
        <v>0</v>
      </c>
      <c r="J15" s="10" t="str">
        <f t="shared" si="1"/>
        <v>nao</v>
      </c>
      <c r="K15" s="10" t="str">
        <f t="shared" si="2"/>
        <v>nao</v>
      </c>
      <c r="L15" s="10" t="str">
        <f t="shared" si="3"/>
        <v>nao</v>
      </c>
    </row>
    <row r="16" spans="1:12" x14ac:dyDescent="0.3">
      <c r="A16" s="5">
        <v>45826</v>
      </c>
      <c r="B16" s="6">
        <f t="shared" si="0"/>
        <v>4</v>
      </c>
      <c r="C16" s="7">
        <v>0</v>
      </c>
      <c r="E16" s="7">
        <v>118</v>
      </c>
      <c r="F16" s="8">
        <v>0.47708333333333336</v>
      </c>
      <c r="G16" s="7">
        <v>0</v>
      </c>
      <c r="J16" s="10" t="str">
        <f t="shared" si="1"/>
        <v>nao</v>
      </c>
      <c r="K16" s="10" t="str">
        <f t="shared" si="2"/>
        <v>nao</v>
      </c>
      <c r="L16" s="10" t="str">
        <f t="shared" si="3"/>
        <v>nao</v>
      </c>
    </row>
    <row r="17" spans="1:12" x14ac:dyDescent="0.3">
      <c r="A17" s="5">
        <v>45827</v>
      </c>
      <c r="B17" s="6">
        <f t="shared" si="0"/>
        <v>5</v>
      </c>
      <c r="C17" s="7">
        <v>0</v>
      </c>
      <c r="E17" s="7">
        <v>116</v>
      </c>
      <c r="F17" s="8">
        <v>0.47708333333333336</v>
      </c>
      <c r="G17" s="7">
        <v>135</v>
      </c>
      <c r="H17" s="8">
        <v>0.74930555555555556</v>
      </c>
      <c r="J17" s="10" t="str">
        <f t="shared" si="1"/>
        <v>nao</v>
      </c>
      <c r="K17" s="10" t="str">
        <f t="shared" si="2"/>
        <v>nao</v>
      </c>
      <c r="L17" s="10" t="str">
        <f t="shared" si="3"/>
        <v>nao</v>
      </c>
    </row>
    <row r="18" spans="1:12" x14ac:dyDescent="0.3">
      <c r="A18" s="5">
        <v>45828</v>
      </c>
      <c r="B18" s="6">
        <f t="shared" si="0"/>
        <v>6</v>
      </c>
      <c r="C18" s="7">
        <v>0</v>
      </c>
      <c r="E18" s="7">
        <v>120</v>
      </c>
      <c r="F18" s="8">
        <v>0.50763888888888886</v>
      </c>
      <c r="G18" s="7">
        <v>0</v>
      </c>
      <c r="J18" s="10" t="str">
        <f t="shared" si="1"/>
        <v>nao</v>
      </c>
      <c r="K18" s="10" t="str">
        <f t="shared" si="2"/>
        <v>nao</v>
      </c>
      <c r="L18" s="10" t="str">
        <f t="shared" si="3"/>
        <v>nao</v>
      </c>
    </row>
    <row r="19" spans="1:12" x14ac:dyDescent="0.3">
      <c r="A19" s="5">
        <v>45829</v>
      </c>
      <c r="B19" s="6">
        <f t="shared" si="0"/>
        <v>7</v>
      </c>
      <c r="C19" s="7">
        <v>0</v>
      </c>
      <c r="E19" s="7">
        <v>108</v>
      </c>
      <c r="F19" s="8">
        <v>0.47708333333333336</v>
      </c>
      <c r="G19" s="7">
        <v>0</v>
      </c>
      <c r="J19" s="10" t="str">
        <f t="shared" si="1"/>
        <v>nao</v>
      </c>
      <c r="K19" s="10" t="str">
        <f t="shared" si="2"/>
        <v>nao</v>
      </c>
      <c r="L19" s="10" t="str">
        <f t="shared" si="3"/>
        <v>nao</v>
      </c>
    </row>
    <row r="20" spans="1:12" x14ac:dyDescent="0.3">
      <c r="A20" s="5">
        <v>45830</v>
      </c>
      <c r="B20" s="6">
        <f t="shared" si="0"/>
        <v>1</v>
      </c>
      <c r="C20" s="7">
        <v>0</v>
      </c>
      <c r="E20" s="7">
        <v>0</v>
      </c>
      <c r="G20" s="7">
        <v>0</v>
      </c>
      <c r="J20" s="10" t="str">
        <f t="shared" si="1"/>
        <v>nao</v>
      </c>
      <c r="K20" s="10" t="str">
        <f t="shared" si="2"/>
        <v>nao</v>
      </c>
      <c r="L20" s="10" t="str">
        <f t="shared" si="3"/>
        <v>nao</v>
      </c>
    </row>
    <row r="21" spans="1:12" x14ac:dyDescent="0.3">
      <c r="A21" s="5">
        <v>45831</v>
      </c>
      <c r="B21" s="6">
        <f t="shared" si="0"/>
        <v>2</v>
      </c>
      <c r="C21" s="7">
        <v>180</v>
      </c>
      <c r="D21" s="8">
        <v>0.26041666666666669</v>
      </c>
      <c r="E21" s="7">
        <v>165</v>
      </c>
      <c r="F21" s="8">
        <v>0.4777777777777778</v>
      </c>
      <c r="G21" s="7">
        <v>0</v>
      </c>
      <c r="J21" s="10" t="str">
        <f t="shared" si="1"/>
        <v>sim</v>
      </c>
      <c r="K21" s="10" t="str">
        <f t="shared" si="2"/>
        <v>nao</v>
      </c>
      <c r="L21" s="10" t="str">
        <f t="shared" si="3"/>
        <v>nao</v>
      </c>
    </row>
    <row r="22" spans="1:12" x14ac:dyDescent="0.3">
      <c r="A22" s="5">
        <v>45832</v>
      </c>
      <c r="B22" s="6">
        <f t="shared" si="0"/>
        <v>3</v>
      </c>
      <c r="C22" s="7">
        <v>0</v>
      </c>
      <c r="E22" s="7">
        <v>147</v>
      </c>
      <c r="F22" s="8">
        <v>0.47708333333333336</v>
      </c>
      <c r="G22" s="7">
        <v>137</v>
      </c>
      <c r="H22" s="8">
        <v>0.75</v>
      </c>
      <c r="J22" s="10" t="str">
        <f t="shared" si="1"/>
        <v>nao</v>
      </c>
      <c r="K22" s="10" t="str">
        <f t="shared" si="2"/>
        <v>nao</v>
      </c>
      <c r="L22" s="10" t="str">
        <f t="shared" si="3"/>
        <v>nao</v>
      </c>
    </row>
    <row r="23" spans="1:12" x14ac:dyDescent="0.3">
      <c r="A23" s="5">
        <v>45833</v>
      </c>
      <c r="B23" s="6">
        <f t="shared" si="0"/>
        <v>4</v>
      </c>
      <c r="C23" s="7">
        <v>0</v>
      </c>
      <c r="E23" s="7">
        <v>167</v>
      </c>
      <c r="F23" s="8">
        <v>0.47916666666666669</v>
      </c>
      <c r="G23" s="7">
        <v>125</v>
      </c>
      <c r="H23" s="8">
        <v>0.74097222222222225</v>
      </c>
      <c r="J23" s="10" t="str">
        <f t="shared" si="1"/>
        <v>nao</v>
      </c>
      <c r="K23" s="10" t="str">
        <f t="shared" si="2"/>
        <v>nao</v>
      </c>
      <c r="L23" s="10" t="str">
        <f t="shared" si="3"/>
        <v>nao</v>
      </c>
    </row>
    <row r="24" spans="1:12" x14ac:dyDescent="0.3">
      <c r="A24" s="5">
        <v>45834</v>
      </c>
      <c r="B24" s="6">
        <f t="shared" si="0"/>
        <v>5</v>
      </c>
      <c r="C24" s="7">
        <v>184</v>
      </c>
      <c r="D24" s="8">
        <v>0.26597222222222222</v>
      </c>
      <c r="E24" s="7">
        <v>148</v>
      </c>
      <c r="F24" s="8">
        <v>0.47847222222222224</v>
      </c>
      <c r="G24" s="7">
        <v>0</v>
      </c>
      <c r="J24" s="10" t="str">
        <f t="shared" si="1"/>
        <v>sim</v>
      </c>
      <c r="K24" s="10" t="str">
        <f t="shared" si="2"/>
        <v>nao</v>
      </c>
      <c r="L24" s="10" t="str">
        <f t="shared" si="3"/>
        <v>nao</v>
      </c>
    </row>
    <row r="25" spans="1:12" x14ac:dyDescent="0.3">
      <c r="A25" s="5">
        <v>45835</v>
      </c>
      <c r="B25" s="6">
        <f t="shared" si="0"/>
        <v>6</v>
      </c>
      <c r="C25" s="7">
        <v>164</v>
      </c>
      <c r="D25" s="8">
        <v>0.26527777777777778</v>
      </c>
      <c r="E25" s="7">
        <v>133</v>
      </c>
      <c r="F25" s="8">
        <v>0.47708333333333336</v>
      </c>
      <c r="G25" s="7">
        <v>0</v>
      </c>
      <c r="J25" s="10" t="str">
        <f t="shared" si="1"/>
        <v>nao</v>
      </c>
      <c r="K25" s="10" t="str">
        <f t="shared" si="2"/>
        <v>nao</v>
      </c>
      <c r="L25" s="10" t="str">
        <f t="shared" si="3"/>
        <v>nao</v>
      </c>
    </row>
    <row r="26" spans="1:12" x14ac:dyDescent="0.3">
      <c r="A26" s="5">
        <v>45836</v>
      </c>
      <c r="B26" s="6">
        <f t="shared" si="0"/>
        <v>7</v>
      </c>
      <c r="C26" s="7">
        <v>0</v>
      </c>
      <c r="E26" s="7">
        <v>206</v>
      </c>
      <c r="F26" s="8">
        <v>0.48055555555555557</v>
      </c>
      <c r="G26" s="7">
        <v>0</v>
      </c>
      <c r="J26" s="10" t="str">
        <f t="shared" si="1"/>
        <v>nao</v>
      </c>
      <c r="K26" s="10" t="str">
        <f t="shared" si="2"/>
        <v>nao</v>
      </c>
      <c r="L26" s="10" t="str">
        <f t="shared" si="3"/>
        <v>sim</v>
      </c>
    </row>
    <row r="27" spans="1:12" x14ac:dyDescent="0.3">
      <c r="A27" s="5">
        <v>45837</v>
      </c>
      <c r="B27" s="6">
        <f t="shared" si="0"/>
        <v>1</v>
      </c>
      <c r="C27" s="7">
        <v>0</v>
      </c>
      <c r="E27" s="7">
        <v>140</v>
      </c>
      <c r="F27" s="8">
        <v>0.4777777777777778</v>
      </c>
      <c r="G27" s="7">
        <v>0</v>
      </c>
      <c r="J27" s="10" t="str">
        <f t="shared" si="1"/>
        <v>nao</v>
      </c>
      <c r="K27" s="10" t="str">
        <f t="shared" si="2"/>
        <v>nao</v>
      </c>
      <c r="L27" s="10" t="str">
        <f t="shared" si="3"/>
        <v>nao</v>
      </c>
    </row>
    <row r="28" spans="1:12" x14ac:dyDescent="0.3">
      <c r="A28" s="5">
        <v>45838</v>
      </c>
      <c r="B28" s="6">
        <f t="shared" si="0"/>
        <v>2</v>
      </c>
      <c r="C28" s="7">
        <v>0</v>
      </c>
      <c r="E28" s="7">
        <v>0</v>
      </c>
      <c r="G28" s="7">
        <v>0</v>
      </c>
      <c r="J28" s="10" t="str">
        <f t="shared" si="1"/>
        <v>nao</v>
      </c>
      <c r="K28" s="10" t="str">
        <f t="shared" si="2"/>
        <v>nao</v>
      </c>
      <c r="L28" s="10" t="str">
        <f t="shared" si="3"/>
        <v>nao</v>
      </c>
    </row>
    <row r="29" spans="1:12" x14ac:dyDescent="0.3">
      <c r="A29" s="5">
        <v>45839</v>
      </c>
      <c r="B29" s="6">
        <f t="shared" si="0"/>
        <v>3</v>
      </c>
      <c r="C29" s="7">
        <v>0</v>
      </c>
      <c r="E29" s="7">
        <v>175</v>
      </c>
      <c r="F29" s="8">
        <v>0.48055555555555557</v>
      </c>
      <c r="G29" s="7">
        <v>0</v>
      </c>
      <c r="J29" s="10" t="str">
        <f t="shared" si="1"/>
        <v>nao</v>
      </c>
      <c r="K29" s="10" t="str">
        <f t="shared" si="2"/>
        <v>nao</v>
      </c>
      <c r="L29" s="10" t="str">
        <f t="shared" si="3"/>
        <v>nao</v>
      </c>
    </row>
    <row r="30" spans="1:12" x14ac:dyDescent="0.3">
      <c r="A30" s="5">
        <v>45840</v>
      </c>
      <c r="B30" s="6">
        <f t="shared" si="0"/>
        <v>4</v>
      </c>
      <c r="C30" s="7">
        <v>168</v>
      </c>
      <c r="D30" s="8">
        <v>0.26180555555555557</v>
      </c>
      <c r="E30" s="7">
        <v>168</v>
      </c>
      <c r="F30" s="8">
        <v>0.47847222222222224</v>
      </c>
      <c r="G30" s="7">
        <v>0</v>
      </c>
      <c r="J30" s="10" t="str">
        <f t="shared" si="1"/>
        <v>nao</v>
      </c>
      <c r="K30" s="10" t="str">
        <f t="shared" si="2"/>
        <v>nao</v>
      </c>
      <c r="L30" s="10" t="str">
        <f t="shared" si="3"/>
        <v>nao</v>
      </c>
    </row>
    <row r="31" spans="1:12" x14ac:dyDescent="0.3">
      <c r="A31" s="5">
        <v>45841</v>
      </c>
      <c r="B31" s="6">
        <f t="shared" si="0"/>
        <v>5</v>
      </c>
      <c r="C31" s="7">
        <v>0</v>
      </c>
      <c r="E31" s="7">
        <v>0</v>
      </c>
      <c r="G31" s="7">
        <v>0</v>
      </c>
      <c r="J31" s="10" t="str">
        <f t="shared" si="1"/>
        <v>nao</v>
      </c>
      <c r="K31" s="10" t="str">
        <f t="shared" si="2"/>
        <v>nao</v>
      </c>
      <c r="L31" s="10" t="str">
        <f t="shared" si="3"/>
        <v>nao</v>
      </c>
    </row>
    <row r="32" spans="1:12" x14ac:dyDescent="0.3">
      <c r="A32" s="5">
        <v>45842</v>
      </c>
      <c r="B32" s="6">
        <f t="shared" si="0"/>
        <v>6</v>
      </c>
      <c r="C32" s="7">
        <v>0</v>
      </c>
      <c r="E32" s="7">
        <v>0</v>
      </c>
      <c r="G32" s="7">
        <v>0</v>
      </c>
      <c r="J32" s="10" t="str">
        <f t="shared" si="1"/>
        <v>nao</v>
      </c>
      <c r="K32" s="10" t="str">
        <f t="shared" si="2"/>
        <v>nao</v>
      </c>
      <c r="L32" s="10" t="str">
        <f t="shared" si="3"/>
        <v>nao</v>
      </c>
    </row>
    <row r="33" spans="1:12" x14ac:dyDescent="0.3">
      <c r="A33" s="5">
        <v>45843</v>
      </c>
      <c r="B33" s="6">
        <f t="shared" si="0"/>
        <v>7</v>
      </c>
      <c r="C33" s="7">
        <v>0</v>
      </c>
      <c r="E33" s="7">
        <v>133</v>
      </c>
      <c r="F33" s="8">
        <v>0.47916666666666669</v>
      </c>
      <c r="G33" s="7">
        <v>0</v>
      </c>
      <c r="J33" s="10" t="str">
        <f t="shared" si="1"/>
        <v>nao</v>
      </c>
      <c r="K33" s="10" t="str">
        <f t="shared" si="2"/>
        <v>nao</v>
      </c>
      <c r="L33" s="10" t="str">
        <f t="shared" si="3"/>
        <v>nao</v>
      </c>
    </row>
    <row r="34" spans="1:12" x14ac:dyDescent="0.3">
      <c r="A34" s="5">
        <v>45844</v>
      </c>
      <c r="B34" s="6">
        <f t="shared" si="0"/>
        <v>1</v>
      </c>
      <c r="C34" s="7">
        <v>0</v>
      </c>
      <c r="E34" s="7">
        <v>0</v>
      </c>
      <c r="G34" s="7">
        <v>0</v>
      </c>
      <c r="J34" s="10" t="str">
        <f t="shared" si="1"/>
        <v>nao</v>
      </c>
      <c r="K34" s="10" t="str">
        <f t="shared" si="2"/>
        <v>nao</v>
      </c>
      <c r="L34" s="10" t="str">
        <f t="shared" si="3"/>
        <v>nao</v>
      </c>
    </row>
    <row r="35" spans="1:12" x14ac:dyDescent="0.3">
      <c r="A35" s="5">
        <v>45845</v>
      </c>
      <c r="B35" s="6">
        <f t="shared" si="0"/>
        <v>2</v>
      </c>
      <c r="C35" s="7">
        <v>0</v>
      </c>
      <c r="E35" s="7">
        <v>160</v>
      </c>
      <c r="F35" s="8">
        <v>0.48194444444444445</v>
      </c>
      <c r="G35" s="7">
        <v>0</v>
      </c>
      <c r="J35" s="10" t="str">
        <f t="shared" si="1"/>
        <v>nao</v>
      </c>
      <c r="K35" s="10" t="str">
        <f t="shared" si="2"/>
        <v>nao</v>
      </c>
      <c r="L35" s="10" t="str">
        <f t="shared" si="3"/>
        <v>nao</v>
      </c>
    </row>
    <row r="36" spans="1:12" x14ac:dyDescent="0.3">
      <c r="A36" s="5">
        <v>45846</v>
      </c>
      <c r="B36" s="6">
        <f t="shared" si="0"/>
        <v>3</v>
      </c>
      <c r="C36" s="7">
        <v>0</v>
      </c>
      <c r="E36" s="7">
        <v>0</v>
      </c>
      <c r="G36" s="7">
        <v>0</v>
      </c>
      <c r="J36" s="10" t="str">
        <f t="shared" si="1"/>
        <v>nao</v>
      </c>
      <c r="K36" s="10" t="str">
        <f t="shared" si="2"/>
        <v>nao</v>
      </c>
      <c r="L36" s="10" t="str">
        <f t="shared" si="3"/>
        <v>nao</v>
      </c>
    </row>
    <row r="37" spans="1:12" x14ac:dyDescent="0.3">
      <c r="A37" s="5">
        <v>45847</v>
      </c>
      <c r="B37" s="6">
        <f t="shared" si="0"/>
        <v>4</v>
      </c>
      <c r="C37" s="7">
        <v>0</v>
      </c>
      <c r="E37" s="7">
        <v>209</v>
      </c>
      <c r="F37" s="8">
        <v>0.47916666666666669</v>
      </c>
      <c r="G37" s="7">
        <v>0</v>
      </c>
      <c r="J37" s="10" t="str">
        <f t="shared" si="1"/>
        <v>nao</v>
      </c>
      <c r="K37" s="10" t="str">
        <f t="shared" si="2"/>
        <v>nao</v>
      </c>
      <c r="L37" s="10" t="str">
        <f t="shared" si="3"/>
        <v>sim</v>
      </c>
    </row>
    <row r="38" spans="1:12" x14ac:dyDescent="0.3">
      <c r="A38" s="5">
        <v>45848</v>
      </c>
      <c r="B38" s="6">
        <f t="shared" si="0"/>
        <v>5</v>
      </c>
      <c r="C38" s="7">
        <v>0</v>
      </c>
      <c r="E38" s="7">
        <v>0</v>
      </c>
      <c r="G38" s="7">
        <v>0</v>
      </c>
      <c r="J38" s="10" t="str">
        <f t="shared" si="1"/>
        <v>nao</v>
      </c>
      <c r="K38" s="10" t="str">
        <f t="shared" si="2"/>
        <v>nao</v>
      </c>
      <c r="L38" s="10" t="str">
        <f t="shared" si="3"/>
        <v>nao</v>
      </c>
    </row>
    <row r="39" spans="1:12" x14ac:dyDescent="0.3">
      <c r="A39" s="5">
        <v>45849</v>
      </c>
      <c r="B39" s="6">
        <f t="shared" si="0"/>
        <v>6</v>
      </c>
      <c r="C39" s="7">
        <v>0</v>
      </c>
      <c r="E39" s="7">
        <v>0</v>
      </c>
      <c r="G39" s="7">
        <v>0</v>
      </c>
      <c r="J39" s="10" t="str">
        <f t="shared" si="1"/>
        <v>nao</v>
      </c>
      <c r="K39" s="10" t="str">
        <f t="shared" si="2"/>
        <v>nao</v>
      </c>
      <c r="L39" s="10" t="str">
        <f t="shared" si="3"/>
        <v>nao</v>
      </c>
    </row>
    <row r="40" spans="1:12" x14ac:dyDescent="0.3">
      <c r="A40" s="5">
        <v>45850</v>
      </c>
      <c r="B40" s="6">
        <f t="shared" si="0"/>
        <v>7</v>
      </c>
      <c r="C40" s="7">
        <v>0</v>
      </c>
      <c r="E40" s="7">
        <v>124</v>
      </c>
      <c r="F40" s="8">
        <v>0.47916666666666669</v>
      </c>
      <c r="G40" s="7">
        <v>0</v>
      </c>
      <c r="J40" s="10" t="str">
        <f t="shared" si="1"/>
        <v>nao</v>
      </c>
      <c r="K40" s="10" t="str">
        <f t="shared" si="2"/>
        <v>nao</v>
      </c>
      <c r="L40" s="10" t="str">
        <f t="shared" si="3"/>
        <v>nao</v>
      </c>
    </row>
    <row r="41" spans="1:12" x14ac:dyDescent="0.3">
      <c r="A41" s="5">
        <v>45851</v>
      </c>
      <c r="B41" s="6">
        <f t="shared" si="0"/>
        <v>1</v>
      </c>
      <c r="C41" s="7">
        <v>0</v>
      </c>
      <c r="E41" s="7">
        <v>126</v>
      </c>
      <c r="F41" s="8">
        <v>0.47638888888888886</v>
      </c>
      <c r="G41" s="7">
        <v>0</v>
      </c>
      <c r="J41" s="10" t="str">
        <f t="shared" si="1"/>
        <v>nao</v>
      </c>
      <c r="K41" s="10" t="str">
        <f t="shared" si="2"/>
        <v>nao</v>
      </c>
      <c r="L41" s="10" t="str">
        <f t="shared" si="3"/>
        <v>nao</v>
      </c>
    </row>
    <row r="42" spans="1:12" x14ac:dyDescent="0.3">
      <c r="A42" s="5">
        <v>45852</v>
      </c>
      <c r="B42" s="6">
        <f t="shared" si="0"/>
        <v>2</v>
      </c>
      <c r="C42" s="7">
        <v>0</v>
      </c>
      <c r="E42" s="7">
        <v>106</v>
      </c>
      <c r="F42" s="8">
        <v>0.48749999999999999</v>
      </c>
      <c r="G42" s="7">
        <v>0</v>
      </c>
      <c r="J42" s="10" t="str">
        <f t="shared" si="1"/>
        <v>nao</v>
      </c>
      <c r="K42" s="10" t="str">
        <f t="shared" si="2"/>
        <v>nao</v>
      </c>
      <c r="L42" s="10" t="str">
        <f t="shared" si="3"/>
        <v>nao</v>
      </c>
    </row>
    <row r="43" spans="1:12" x14ac:dyDescent="0.3">
      <c r="A43" s="5">
        <v>45853</v>
      </c>
      <c r="B43" s="6">
        <f t="shared" si="0"/>
        <v>3</v>
      </c>
      <c r="C43" s="7">
        <v>0</v>
      </c>
      <c r="E43" s="7">
        <v>189</v>
      </c>
      <c r="F43" s="8">
        <v>0.48472222222222222</v>
      </c>
      <c r="G43" s="7">
        <v>0</v>
      </c>
      <c r="J43" s="10" t="str">
        <f t="shared" si="1"/>
        <v>nao</v>
      </c>
      <c r="K43" s="10" t="str">
        <f t="shared" si="2"/>
        <v>nao</v>
      </c>
      <c r="L43" s="10" t="str">
        <f t="shared" si="3"/>
        <v>sim</v>
      </c>
    </row>
    <row r="44" spans="1:12" x14ac:dyDescent="0.3">
      <c r="A44" s="5">
        <v>45854</v>
      </c>
      <c r="B44" s="6">
        <f t="shared" si="0"/>
        <v>4</v>
      </c>
      <c r="C44" s="7">
        <v>0</v>
      </c>
      <c r="E44" s="7">
        <v>0</v>
      </c>
      <c r="G44" s="7">
        <v>0</v>
      </c>
      <c r="J44" s="10" t="str">
        <f t="shared" si="1"/>
        <v>nao</v>
      </c>
      <c r="K44" s="10" t="str">
        <f t="shared" si="2"/>
        <v>nao</v>
      </c>
      <c r="L44" s="10" t="str">
        <f t="shared" si="3"/>
        <v>nao</v>
      </c>
    </row>
    <row r="45" spans="1:12" x14ac:dyDescent="0.3">
      <c r="A45" s="5">
        <v>45855</v>
      </c>
      <c r="B45" s="6">
        <f t="shared" si="0"/>
        <v>5</v>
      </c>
      <c r="C45" s="7">
        <v>0</v>
      </c>
      <c r="E45" s="7">
        <v>0</v>
      </c>
      <c r="G45" s="7">
        <v>0</v>
      </c>
      <c r="J45" s="10" t="str">
        <f t="shared" si="1"/>
        <v>nao</v>
      </c>
      <c r="K45" s="10" t="str">
        <f t="shared" si="2"/>
        <v>nao</v>
      </c>
      <c r="L45" s="10" t="str">
        <f t="shared" si="3"/>
        <v>nao</v>
      </c>
    </row>
    <row r="46" spans="1:12" x14ac:dyDescent="0.3">
      <c r="A46" s="5">
        <v>45856</v>
      </c>
      <c r="B46" s="6">
        <f t="shared" si="0"/>
        <v>6</v>
      </c>
      <c r="C46" s="7">
        <v>0</v>
      </c>
      <c r="E46" s="7">
        <v>0</v>
      </c>
      <c r="G46" s="7">
        <v>0</v>
      </c>
      <c r="J46" s="10" t="str">
        <f t="shared" si="1"/>
        <v>nao</v>
      </c>
      <c r="K46" s="10" t="str">
        <f t="shared" si="2"/>
        <v>nao</v>
      </c>
      <c r="L46" s="10" t="str">
        <f t="shared" si="3"/>
        <v>nao</v>
      </c>
    </row>
    <row r="47" spans="1:12" x14ac:dyDescent="0.3">
      <c r="A47" s="5">
        <v>45857</v>
      </c>
      <c r="B47" s="6">
        <f t="shared" si="0"/>
        <v>7</v>
      </c>
      <c r="C47" s="7">
        <v>0</v>
      </c>
      <c r="E47" s="7">
        <v>0</v>
      </c>
      <c r="G47" s="7">
        <v>0</v>
      </c>
      <c r="J47" s="10" t="str">
        <f t="shared" si="1"/>
        <v>nao</v>
      </c>
      <c r="K47" s="10" t="str">
        <f t="shared" si="2"/>
        <v>nao</v>
      </c>
      <c r="L47" s="10" t="str">
        <f t="shared" si="3"/>
        <v>nao</v>
      </c>
    </row>
    <row r="48" spans="1:12" x14ac:dyDescent="0.3">
      <c r="A48" s="5">
        <v>45858</v>
      </c>
      <c r="B48" s="6">
        <f t="shared" si="0"/>
        <v>1</v>
      </c>
      <c r="C48" s="7">
        <v>0</v>
      </c>
      <c r="E48" s="7">
        <v>0</v>
      </c>
      <c r="G48" s="7">
        <v>0</v>
      </c>
      <c r="J48" s="10" t="str">
        <f t="shared" si="1"/>
        <v>nao</v>
      </c>
      <c r="K48" s="10" t="str">
        <f t="shared" si="2"/>
        <v>nao</v>
      </c>
      <c r="L48" s="10" t="str">
        <f t="shared" si="3"/>
        <v>nao</v>
      </c>
    </row>
    <row r="49" spans="1:12" x14ac:dyDescent="0.3">
      <c r="A49" s="5">
        <v>45859</v>
      </c>
      <c r="B49" s="6">
        <f t="shared" si="0"/>
        <v>2</v>
      </c>
      <c r="C49" s="7">
        <v>0</v>
      </c>
      <c r="E49" s="7">
        <v>0</v>
      </c>
      <c r="G49" s="7">
        <v>0</v>
      </c>
      <c r="J49" s="10" t="str">
        <f t="shared" si="1"/>
        <v>nao</v>
      </c>
      <c r="K49" s="10" t="str">
        <f t="shared" si="2"/>
        <v>nao</v>
      </c>
      <c r="L49" s="10" t="str">
        <f t="shared" si="3"/>
        <v>nao</v>
      </c>
    </row>
    <row r="50" spans="1:12" x14ac:dyDescent="0.3">
      <c r="A50" s="5">
        <v>45860</v>
      </c>
      <c r="B50" s="6">
        <f t="shared" si="0"/>
        <v>3</v>
      </c>
      <c r="C50" s="7">
        <v>184</v>
      </c>
      <c r="D50" s="8">
        <v>0.30625000000000002</v>
      </c>
      <c r="E50" s="7">
        <v>0</v>
      </c>
      <c r="G50" s="7">
        <v>0</v>
      </c>
      <c r="J50" s="10" t="str">
        <f t="shared" si="1"/>
        <v>sim</v>
      </c>
      <c r="K50" s="10" t="str">
        <f t="shared" si="2"/>
        <v>nao</v>
      </c>
      <c r="L50" s="10" t="str">
        <f t="shared" si="3"/>
        <v>nao</v>
      </c>
    </row>
    <row r="51" spans="1:12" x14ac:dyDescent="0.3">
      <c r="A51" s="5">
        <v>45861</v>
      </c>
      <c r="B51" s="6">
        <f t="shared" si="0"/>
        <v>4</v>
      </c>
      <c r="C51" s="7">
        <v>0</v>
      </c>
      <c r="E51" s="7">
        <v>0</v>
      </c>
      <c r="G51" s="7">
        <v>0</v>
      </c>
      <c r="J51" s="10" t="str">
        <f t="shared" si="1"/>
        <v>nao</v>
      </c>
      <c r="K51" s="10" t="str">
        <f t="shared" si="2"/>
        <v>nao</v>
      </c>
      <c r="L51" s="10" t="str">
        <f t="shared" si="3"/>
        <v>nao</v>
      </c>
    </row>
    <row r="52" spans="1:12" x14ac:dyDescent="0.3">
      <c r="A52" s="5">
        <v>45862</v>
      </c>
      <c r="B52" s="6">
        <f t="shared" si="0"/>
        <v>5</v>
      </c>
      <c r="C52" s="7">
        <v>0</v>
      </c>
      <c r="E52" s="7">
        <v>0</v>
      </c>
      <c r="G52" s="7">
        <v>0</v>
      </c>
      <c r="J52" s="10" t="str">
        <f t="shared" si="1"/>
        <v>nao</v>
      </c>
      <c r="K52" s="10" t="str">
        <f t="shared" si="2"/>
        <v>nao</v>
      </c>
      <c r="L52" s="10" t="str">
        <f t="shared" si="3"/>
        <v>nao</v>
      </c>
    </row>
    <row r="53" spans="1:12" x14ac:dyDescent="0.3">
      <c r="A53" s="5">
        <v>45863</v>
      </c>
      <c r="B53" s="6">
        <f t="shared" si="0"/>
        <v>6</v>
      </c>
      <c r="C53" s="7">
        <v>0</v>
      </c>
      <c r="E53" s="7">
        <v>0</v>
      </c>
      <c r="G53" s="7">
        <v>0</v>
      </c>
      <c r="J53" s="10" t="str">
        <f t="shared" si="1"/>
        <v>nao</v>
      </c>
      <c r="K53" s="10" t="str">
        <f t="shared" si="2"/>
        <v>nao</v>
      </c>
      <c r="L53" s="10" t="str">
        <f t="shared" si="3"/>
        <v>nao</v>
      </c>
    </row>
    <row r="54" spans="1:12" x14ac:dyDescent="0.3">
      <c r="A54" s="5">
        <v>45864</v>
      </c>
      <c r="B54" s="6">
        <f t="shared" si="0"/>
        <v>7</v>
      </c>
      <c r="C54" s="7">
        <v>0</v>
      </c>
      <c r="E54" s="7">
        <v>0</v>
      </c>
      <c r="G54" s="7">
        <v>0</v>
      </c>
      <c r="J54" s="10" t="str">
        <f t="shared" si="1"/>
        <v>nao</v>
      </c>
      <c r="K54" s="10" t="str">
        <f t="shared" si="2"/>
        <v>nao</v>
      </c>
      <c r="L54" s="10" t="str">
        <f t="shared" si="3"/>
        <v>nao</v>
      </c>
    </row>
    <row r="55" spans="1:12" x14ac:dyDescent="0.3">
      <c r="A55" s="5">
        <v>45865</v>
      </c>
      <c r="B55" s="6">
        <f t="shared" si="0"/>
        <v>1</v>
      </c>
      <c r="C55" s="7">
        <v>0</v>
      </c>
      <c r="E55" s="7">
        <v>0</v>
      </c>
      <c r="G55" s="7">
        <v>0</v>
      </c>
      <c r="J55" s="10" t="str">
        <f t="shared" si="1"/>
        <v>nao</v>
      </c>
      <c r="K55" s="10" t="str">
        <f t="shared" si="2"/>
        <v>nao</v>
      </c>
      <c r="L55" s="10" t="str">
        <f t="shared" si="3"/>
        <v>nao</v>
      </c>
    </row>
    <row r="56" spans="1:12" x14ac:dyDescent="0.3">
      <c r="A56" s="5">
        <v>45866</v>
      </c>
      <c r="B56" s="6">
        <f t="shared" si="0"/>
        <v>2</v>
      </c>
      <c r="C56" s="7">
        <v>0</v>
      </c>
      <c r="E56" s="7">
        <v>0</v>
      </c>
      <c r="G56" s="7">
        <v>0</v>
      </c>
      <c r="J56" s="10" t="str">
        <f t="shared" si="1"/>
        <v>nao</v>
      </c>
      <c r="K56" s="10" t="str">
        <f t="shared" si="2"/>
        <v>nao</v>
      </c>
      <c r="L56" s="10" t="str">
        <f t="shared" si="3"/>
        <v>nao</v>
      </c>
    </row>
    <row r="57" spans="1:12" x14ac:dyDescent="0.3">
      <c r="A57" s="5">
        <v>45867</v>
      </c>
      <c r="B57" s="6">
        <f t="shared" si="0"/>
        <v>3</v>
      </c>
      <c r="C57" s="7">
        <v>0</v>
      </c>
      <c r="E57" s="7">
        <v>0</v>
      </c>
      <c r="G57" s="7">
        <v>0</v>
      </c>
      <c r="J57" s="10" t="str">
        <f t="shared" si="1"/>
        <v>nao</v>
      </c>
      <c r="K57" s="10" t="str">
        <f t="shared" si="2"/>
        <v>nao</v>
      </c>
      <c r="L57" s="10" t="str">
        <f t="shared" si="3"/>
        <v>nao</v>
      </c>
    </row>
    <row r="58" spans="1:12" x14ac:dyDescent="0.3">
      <c r="A58" s="5">
        <v>45868</v>
      </c>
      <c r="B58" s="6">
        <f t="shared" si="0"/>
        <v>4</v>
      </c>
      <c r="C58" s="7">
        <v>0</v>
      </c>
      <c r="E58" s="7">
        <v>0</v>
      </c>
      <c r="G58" s="7">
        <v>0</v>
      </c>
      <c r="J58" s="10" t="str">
        <f t="shared" si="1"/>
        <v>nao</v>
      </c>
      <c r="K58" s="10" t="str">
        <f t="shared" si="2"/>
        <v>nao</v>
      </c>
      <c r="L58" s="10" t="str">
        <f t="shared" si="3"/>
        <v>nao</v>
      </c>
    </row>
    <row r="59" spans="1:12" x14ac:dyDescent="0.3">
      <c r="A59" s="5">
        <v>45869</v>
      </c>
      <c r="B59" s="6">
        <f t="shared" si="0"/>
        <v>5</v>
      </c>
      <c r="C59" s="7">
        <v>0</v>
      </c>
      <c r="E59" s="7">
        <v>0</v>
      </c>
      <c r="G59" s="7">
        <v>0</v>
      </c>
      <c r="J59" s="10" t="str">
        <f t="shared" si="1"/>
        <v>nao</v>
      </c>
      <c r="K59" s="10" t="str">
        <f t="shared" si="2"/>
        <v>nao</v>
      </c>
      <c r="L59" s="10" t="str">
        <f t="shared" si="3"/>
        <v>nao</v>
      </c>
    </row>
    <row r="60" spans="1:12" x14ac:dyDescent="0.3">
      <c r="A60" s="5">
        <v>45870</v>
      </c>
      <c r="B60" s="6">
        <f t="shared" si="0"/>
        <v>6</v>
      </c>
      <c r="C60" s="7">
        <v>0</v>
      </c>
      <c r="E60" s="7">
        <v>0</v>
      </c>
      <c r="G60" s="7">
        <v>0</v>
      </c>
      <c r="J60" s="10" t="str">
        <f t="shared" si="1"/>
        <v>nao</v>
      </c>
      <c r="K60" s="10" t="str">
        <f t="shared" si="2"/>
        <v>nao</v>
      </c>
      <c r="L60" s="10" t="str">
        <f t="shared" si="3"/>
        <v>nao</v>
      </c>
    </row>
    <row r="61" spans="1:12" x14ac:dyDescent="0.3">
      <c r="A61" s="5">
        <v>45871</v>
      </c>
      <c r="B61" s="6">
        <f t="shared" si="0"/>
        <v>7</v>
      </c>
      <c r="C61" s="7">
        <v>0</v>
      </c>
      <c r="E61" s="7">
        <v>0</v>
      </c>
      <c r="G61" s="7">
        <v>0</v>
      </c>
      <c r="J61" s="10" t="str">
        <f t="shared" si="1"/>
        <v>nao</v>
      </c>
      <c r="K61" s="10" t="str">
        <f t="shared" si="2"/>
        <v>nao</v>
      </c>
      <c r="L61" s="10" t="str">
        <f t="shared" si="3"/>
        <v>nao</v>
      </c>
    </row>
    <row r="62" spans="1:12" x14ac:dyDescent="0.3">
      <c r="A62" s="5">
        <v>45872</v>
      </c>
      <c r="B62" s="6">
        <f t="shared" si="0"/>
        <v>1</v>
      </c>
      <c r="C62" s="7">
        <v>0</v>
      </c>
      <c r="E62" s="7">
        <v>0</v>
      </c>
      <c r="G62" s="7">
        <v>0</v>
      </c>
      <c r="J62" s="10" t="str">
        <f t="shared" si="1"/>
        <v>nao</v>
      </c>
      <c r="K62" s="10" t="str">
        <f t="shared" si="2"/>
        <v>nao</v>
      </c>
      <c r="L62" s="10" t="str">
        <f t="shared" si="3"/>
        <v>nao</v>
      </c>
    </row>
    <row r="63" spans="1:12" x14ac:dyDescent="0.3">
      <c r="A63" s="5">
        <v>45873</v>
      </c>
      <c r="B63" s="6">
        <f t="shared" si="0"/>
        <v>2</v>
      </c>
      <c r="C63" s="7">
        <v>0</v>
      </c>
      <c r="E63" s="7">
        <v>0</v>
      </c>
      <c r="G63" s="7">
        <v>0</v>
      </c>
      <c r="J63" s="10" t="str">
        <f t="shared" si="1"/>
        <v>nao</v>
      </c>
      <c r="K63" s="10" t="str">
        <f t="shared" si="2"/>
        <v>nao</v>
      </c>
      <c r="L63" s="10" t="str">
        <f t="shared" si="3"/>
        <v>nao</v>
      </c>
    </row>
    <row r="64" spans="1:12" x14ac:dyDescent="0.3">
      <c r="A64" s="5">
        <v>45874</v>
      </c>
      <c r="B64" s="6">
        <f t="shared" si="0"/>
        <v>3</v>
      </c>
      <c r="C64" s="7">
        <v>0</v>
      </c>
      <c r="E64" s="7">
        <v>0</v>
      </c>
      <c r="G64" s="7">
        <v>0</v>
      </c>
      <c r="J64" s="10" t="str">
        <f t="shared" si="1"/>
        <v>nao</v>
      </c>
      <c r="K64" s="10" t="str">
        <f t="shared" si="2"/>
        <v>nao</v>
      </c>
      <c r="L64" s="10" t="str">
        <f t="shared" si="3"/>
        <v>nao</v>
      </c>
    </row>
    <row r="65" spans="1:12" x14ac:dyDescent="0.3">
      <c r="A65" s="5">
        <v>45875</v>
      </c>
      <c r="B65" s="6">
        <f t="shared" si="0"/>
        <v>4</v>
      </c>
      <c r="C65" s="7">
        <v>0</v>
      </c>
      <c r="E65" s="7">
        <v>0</v>
      </c>
      <c r="G65" s="7">
        <v>0</v>
      </c>
      <c r="J65" s="10" t="str">
        <f t="shared" si="1"/>
        <v>nao</v>
      </c>
      <c r="K65" s="10" t="str">
        <f t="shared" si="2"/>
        <v>nao</v>
      </c>
      <c r="L65" s="10" t="str">
        <f t="shared" si="3"/>
        <v>nao</v>
      </c>
    </row>
    <row r="66" spans="1:12" x14ac:dyDescent="0.3">
      <c r="A66" s="5">
        <v>45876</v>
      </c>
      <c r="B66" s="6">
        <f t="shared" ref="B66:B129" si="4">WEEKDAY(A66)</f>
        <v>5</v>
      </c>
      <c r="C66" s="7">
        <v>0</v>
      </c>
      <c r="E66" s="7">
        <v>140</v>
      </c>
      <c r="F66" s="8">
        <v>0.47222222222222221</v>
      </c>
      <c r="G66" s="7">
        <v>0</v>
      </c>
      <c r="J66" s="10" t="str">
        <f t="shared" ref="J66:J129" si="5">IF((C66)&gt;=180,"sim","nao")</f>
        <v>nao</v>
      </c>
      <c r="K66" s="10" t="str">
        <f t="shared" ref="K66:K129" si="6">IF((D66)&gt;=180,"sim","nao")</f>
        <v>nao</v>
      </c>
      <c r="L66" s="10" t="str">
        <f t="shared" ref="L66:L129" si="7">IF((E66)&gt;=180,"sim","nao")</f>
        <v>nao</v>
      </c>
    </row>
    <row r="67" spans="1:12" x14ac:dyDescent="0.3">
      <c r="A67" s="5">
        <v>45877</v>
      </c>
      <c r="B67" s="6">
        <f t="shared" si="4"/>
        <v>6</v>
      </c>
      <c r="C67" s="7">
        <v>0</v>
      </c>
      <c r="E67" s="7">
        <v>143</v>
      </c>
      <c r="F67" s="8">
        <v>0.49583333333333335</v>
      </c>
      <c r="G67" s="7">
        <v>0</v>
      </c>
      <c r="J67" s="10" t="str">
        <f t="shared" si="5"/>
        <v>nao</v>
      </c>
      <c r="K67" s="10" t="str">
        <f t="shared" si="6"/>
        <v>nao</v>
      </c>
      <c r="L67" s="10" t="str">
        <f t="shared" si="7"/>
        <v>nao</v>
      </c>
    </row>
    <row r="68" spans="1:12" x14ac:dyDescent="0.3">
      <c r="A68" s="5">
        <v>45878</v>
      </c>
      <c r="B68" s="6">
        <f t="shared" si="4"/>
        <v>7</v>
      </c>
      <c r="C68" s="7">
        <v>0</v>
      </c>
      <c r="E68" s="7">
        <v>0</v>
      </c>
      <c r="G68" s="7">
        <v>0</v>
      </c>
      <c r="J68" s="10" t="str">
        <f t="shared" si="5"/>
        <v>nao</v>
      </c>
      <c r="K68" s="10" t="str">
        <f t="shared" si="6"/>
        <v>nao</v>
      </c>
      <c r="L68" s="10" t="str">
        <f t="shared" si="7"/>
        <v>nao</v>
      </c>
    </row>
    <row r="69" spans="1:12" x14ac:dyDescent="0.3">
      <c r="A69" s="5">
        <v>45879</v>
      </c>
      <c r="B69" s="6">
        <f t="shared" si="4"/>
        <v>1</v>
      </c>
      <c r="C69" s="7">
        <v>0</v>
      </c>
      <c r="E69" s="7">
        <v>0</v>
      </c>
      <c r="G69" s="7">
        <v>0</v>
      </c>
      <c r="J69" s="10" t="str">
        <f t="shared" si="5"/>
        <v>nao</v>
      </c>
      <c r="K69" s="10" t="str">
        <f t="shared" si="6"/>
        <v>nao</v>
      </c>
      <c r="L69" s="10" t="str">
        <f t="shared" si="7"/>
        <v>nao</v>
      </c>
    </row>
    <row r="70" spans="1:12" x14ac:dyDescent="0.3">
      <c r="A70" s="5">
        <v>45880</v>
      </c>
      <c r="B70" s="6">
        <f t="shared" si="4"/>
        <v>2</v>
      </c>
      <c r="C70" s="7">
        <v>0</v>
      </c>
      <c r="E70" s="7">
        <v>196</v>
      </c>
      <c r="F70" s="8">
        <v>0.48333333333333334</v>
      </c>
      <c r="G70" s="7">
        <v>0</v>
      </c>
      <c r="J70" s="10" t="str">
        <f t="shared" si="5"/>
        <v>nao</v>
      </c>
      <c r="K70" s="10" t="str">
        <f t="shared" si="6"/>
        <v>nao</v>
      </c>
      <c r="L70" s="10" t="str">
        <f t="shared" si="7"/>
        <v>sim</v>
      </c>
    </row>
    <row r="71" spans="1:12" x14ac:dyDescent="0.3">
      <c r="A71" s="5">
        <v>45881</v>
      </c>
      <c r="B71" s="6">
        <f t="shared" si="4"/>
        <v>3</v>
      </c>
      <c r="C71" s="7">
        <v>0</v>
      </c>
      <c r="E71" s="7">
        <v>0</v>
      </c>
      <c r="G71" s="7">
        <v>0</v>
      </c>
      <c r="J71" s="10" t="str">
        <f t="shared" si="5"/>
        <v>nao</v>
      </c>
      <c r="K71" s="10" t="str">
        <f t="shared" si="6"/>
        <v>nao</v>
      </c>
      <c r="L71" s="10" t="str">
        <f t="shared" si="7"/>
        <v>nao</v>
      </c>
    </row>
    <row r="72" spans="1:12" x14ac:dyDescent="0.3">
      <c r="A72" s="5">
        <v>45882</v>
      </c>
      <c r="B72" s="6">
        <f t="shared" si="4"/>
        <v>4</v>
      </c>
      <c r="C72" s="7">
        <v>0</v>
      </c>
      <c r="E72" s="7">
        <v>111</v>
      </c>
      <c r="F72" s="8">
        <v>0.49861111111111112</v>
      </c>
      <c r="G72" s="7">
        <v>0</v>
      </c>
      <c r="J72" s="10" t="str">
        <f t="shared" si="5"/>
        <v>nao</v>
      </c>
      <c r="K72" s="10" t="str">
        <f t="shared" si="6"/>
        <v>nao</v>
      </c>
      <c r="L72" s="10" t="str">
        <f t="shared" si="7"/>
        <v>nao</v>
      </c>
    </row>
    <row r="73" spans="1:12" x14ac:dyDescent="0.3">
      <c r="A73" s="5">
        <v>45883</v>
      </c>
      <c r="B73" s="6">
        <f t="shared" si="4"/>
        <v>5</v>
      </c>
      <c r="C73" s="7">
        <v>0</v>
      </c>
      <c r="E73" s="7">
        <v>159</v>
      </c>
      <c r="F73" s="8">
        <v>0.47847222222222224</v>
      </c>
      <c r="G73" s="7">
        <v>0</v>
      </c>
      <c r="J73" s="10" t="str">
        <f t="shared" si="5"/>
        <v>nao</v>
      </c>
      <c r="K73" s="10" t="str">
        <f t="shared" si="6"/>
        <v>nao</v>
      </c>
      <c r="L73" s="10" t="str">
        <f t="shared" si="7"/>
        <v>nao</v>
      </c>
    </row>
    <row r="74" spans="1:12" x14ac:dyDescent="0.3">
      <c r="A74" s="5">
        <v>45884</v>
      </c>
      <c r="B74" s="6">
        <f t="shared" si="4"/>
        <v>6</v>
      </c>
      <c r="C74" s="7">
        <v>0</v>
      </c>
      <c r="E74" s="7">
        <v>0</v>
      </c>
      <c r="G74" s="7">
        <v>0</v>
      </c>
      <c r="J74" s="10" t="str">
        <f t="shared" si="5"/>
        <v>nao</v>
      </c>
      <c r="K74" s="10" t="str">
        <f t="shared" si="6"/>
        <v>nao</v>
      </c>
      <c r="L74" s="10" t="str">
        <f t="shared" si="7"/>
        <v>nao</v>
      </c>
    </row>
    <row r="75" spans="1:12" x14ac:dyDescent="0.3">
      <c r="A75" s="5">
        <v>45885</v>
      </c>
      <c r="B75" s="6">
        <f t="shared" si="4"/>
        <v>7</v>
      </c>
      <c r="C75" s="7">
        <v>0</v>
      </c>
      <c r="E75" s="7">
        <v>0</v>
      </c>
      <c r="G75" s="7">
        <v>0</v>
      </c>
      <c r="J75" s="10" t="str">
        <f t="shared" si="5"/>
        <v>nao</v>
      </c>
      <c r="K75" s="10" t="str">
        <f t="shared" si="6"/>
        <v>nao</v>
      </c>
      <c r="L75" s="10" t="str">
        <f t="shared" si="7"/>
        <v>nao</v>
      </c>
    </row>
    <row r="76" spans="1:12" x14ac:dyDescent="0.3">
      <c r="A76" s="5">
        <v>45886</v>
      </c>
      <c r="B76" s="6">
        <f t="shared" si="4"/>
        <v>1</v>
      </c>
      <c r="C76" s="7">
        <v>0</v>
      </c>
      <c r="E76" s="7">
        <v>0</v>
      </c>
      <c r="G76" s="7">
        <v>0</v>
      </c>
      <c r="J76" s="10" t="str">
        <f t="shared" si="5"/>
        <v>nao</v>
      </c>
      <c r="K76" s="10" t="str">
        <f t="shared" si="6"/>
        <v>nao</v>
      </c>
      <c r="L76" s="10" t="str">
        <f t="shared" si="7"/>
        <v>nao</v>
      </c>
    </row>
    <row r="77" spans="1:12" x14ac:dyDescent="0.3">
      <c r="A77" s="5">
        <v>45887</v>
      </c>
      <c r="B77" s="6">
        <f t="shared" si="4"/>
        <v>2</v>
      </c>
      <c r="C77" s="7">
        <v>0</v>
      </c>
      <c r="E77" s="7">
        <v>139</v>
      </c>
      <c r="F77" s="8">
        <v>0.47638888888888886</v>
      </c>
      <c r="G77" s="7">
        <v>0</v>
      </c>
      <c r="J77" s="10" t="str">
        <f t="shared" si="5"/>
        <v>nao</v>
      </c>
      <c r="K77" s="10" t="str">
        <f t="shared" si="6"/>
        <v>nao</v>
      </c>
      <c r="L77" s="10" t="str">
        <f t="shared" si="7"/>
        <v>nao</v>
      </c>
    </row>
    <row r="78" spans="1:12" x14ac:dyDescent="0.3">
      <c r="A78" s="5">
        <v>45888</v>
      </c>
      <c r="B78" s="6">
        <f t="shared" si="4"/>
        <v>3</v>
      </c>
      <c r="C78" s="7">
        <v>0</v>
      </c>
      <c r="E78" s="7">
        <v>150</v>
      </c>
      <c r="F78" s="8">
        <v>0.47916666666666669</v>
      </c>
      <c r="G78" s="7">
        <v>0</v>
      </c>
      <c r="J78" s="10" t="str">
        <f t="shared" si="5"/>
        <v>nao</v>
      </c>
      <c r="K78" s="10" t="str">
        <f t="shared" si="6"/>
        <v>nao</v>
      </c>
      <c r="L78" s="10" t="str">
        <f t="shared" si="7"/>
        <v>nao</v>
      </c>
    </row>
    <row r="79" spans="1:12" x14ac:dyDescent="0.3">
      <c r="A79" s="5">
        <v>45889</v>
      </c>
      <c r="B79" s="6">
        <f t="shared" si="4"/>
        <v>4</v>
      </c>
      <c r="C79" s="7">
        <v>0</v>
      </c>
      <c r="E79" s="7">
        <v>194</v>
      </c>
      <c r="F79" s="8">
        <v>0.4861111111111111</v>
      </c>
      <c r="G79" s="7">
        <v>0</v>
      </c>
      <c r="J79" s="10" t="str">
        <f t="shared" si="5"/>
        <v>nao</v>
      </c>
      <c r="K79" s="10" t="str">
        <f t="shared" si="6"/>
        <v>nao</v>
      </c>
      <c r="L79" s="10" t="str">
        <f t="shared" si="7"/>
        <v>sim</v>
      </c>
    </row>
    <row r="80" spans="1:12" x14ac:dyDescent="0.3">
      <c r="A80" s="5">
        <v>45890</v>
      </c>
      <c r="B80" s="6">
        <f t="shared" si="4"/>
        <v>5</v>
      </c>
      <c r="C80" s="7">
        <v>0</v>
      </c>
      <c r="E80" s="7">
        <v>0</v>
      </c>
      <c r="G80" s="7">
        <v>0</v>
      </c>
      <c r="J80" s="10" t="str">
        <f t="shared" si="5"/>
        <v>nao</v>
      </c>
      <c r="K80" s="10" t="str">
        <f t="shared" si="6"/>
        <v>nao</v>
      </c>
      <c r="L80" s="10" t="str">
        <f t="shared" si="7"/>
        <v>nao</v>
      </c>
    </row>
    <row r="81" spans="1:12" x14ac:dyDescent="0.3">
      <c r="A81" s="5">
        <v>45891</v>
      </c>
      <c r="B81" s="6">
        <f t="shared" si="4"/>
        <v>6</v>
      </c>
      <c r="C81" s="7">
        <v>0</v>
      </c>
      <c r="E81" s="7">
        <v>200</v>
      </c>
      <c r="F81" s="8">
        <v>0.52777777777777779</v>
      </c>
      <c r="G81" s="7">
        <v>0</v>
      </c>
      <c r="J81" s="10" t="str">
        <f t="shared" si="5"/>
        <v>nao</v>
      </c>
      <c r="K81" s="10" t="str">
        <f t="shared" si="6"/>
        <v>nao</v>
      </c>
      <c r="L81" s="10" t="str">
        <f t="shared" si="7"/>
        <v>sim</v>
      </c>
    </row>
    <row r="82" spans="1:12" x14ac:dyDescent="0.3">
      <c r="A82" s="5">
        <v>45892</v>
      </c>
      <c r="B82" s="6">
        <f t="shared" si="4"/>
        <v>7</v>
      </c>
      <c r="C82" s="7">
        <v>175</v>
      </c>
      <c r="E82" s="7">
        <v>0</v>
      </c>
      <c r="G82" s="7">
        <v>0</v>
      </c>
      <c r="J82" s="10" t="str">
        <f t="shared" si="5"/>
        <v>nao</v>
      </c>
      <c r="K82" s="10" t="str">
        <f t="shared" si="6"/>
        <v>nao</v>
      </c>
      <c r="L82" s="10" t="str">
        <f t="shared" si="7"/>
        <v>nao</v>
      </c>
    </row>
    <row r="83" spans="1:12" x14ac:dyDescent="0.3">
      <c r="A83" s="5">
        <v>45893</v>
      </c>
      <c r="B83" s="6">
        <f t="shared" si="4"/>
        <v>1</v>
      </c>
      <c r="C83" s="7">
        <v>173</v>
      </c>
      <c r="E83" s="7">
        <v>124</v>
      </c>
      <c r="F83" s="8">
        <v>0.49444444444444446</v>
      </c>
      <c r="G83" s="7">
        <v>0</v>
      </c>
      <c r="J83" s="10" t="str">
        <f t="shared" si="5"/>
        <v>nao</v>
      </c>
      <c r="K83" s="10" t="str">
        <f t="shared" si="6"/>
        <v>nao</v>
      </c>
      <c r="L83" s="10" t="str">
        <f t="shared" si="7"/>
        <v>nao</v>
      </c>
    </row>
    <row r="84" spans="1:12" x14ac:dyDescent="0.3">
      <c r="A84" s="5">
        <v>45894</v>
      </c>
      <c r="B84" s="6">
        <f t="shared" si="4"/>
        <v>2</v>
      </c>
      <c r="C84" s="7">
        <v>0</v>
      </c>
      <c r="E84" s="7">
        <v>0</v>
      </c>
      <c r="G84" s="7">
        <v>0</v>
      </c>
      <c r="J84" s="10" t="str">
        <f t="shared" si="5"/>
        <v>nao</v>
      </c>
      <c r="K84" s="10" t="str">
        <f t="shared" si="6"/>
        <v>nao</v>
      </c>
      <c r="L84" s="10" t="str">
        <f t="shared" si="7"/>
        <v>nao</v>
      </c>
    </row>
    <row r="85" spans="1:12" x14ac:dyDescent="0.3">
      <c r="A85" s="5">
        <v>45895</v>
      </c>
      <c r="B85" s="6">
        <f t="shared" si="4"/>
        <v>3</v>
      </c>
      <c r="C85" s="7">
        <v>0</v>
      </c>
      <c r="E85" s="7">
        <v>144</v>
      </c>
      <c r="F85" s="8">
        <v>0.48819444444444443</v>
      </c>
      <c r="G85" s="7">
        <v>0</v>
      </c>
      <c r="J85" s="10" t="str">
        <f t="shared" si="5"/>
        <v>nao</v>
      </c>
      <c r="K85" s="10" t="str">
        <f t="shared" si="6"/>
        <v>nao</v>
      </c>
      <c r="L85" s="10" t="str">
        <f t="shared" si="7"/>
        <v>nao</v>
      </c>
    </row>
    <row r="86" spans="1:12" x14ac:dyDescent="0.3">
      <c r="A86" s="5">
        <v>45896</v>
      </c>
      <c r="B86" s="6">
        <f t="shared" si="4"/>
        <v>4</v>
      </c>
      <c r="C86" s="7">
        <v>0</v>
      </c>
      <c r="E86" s="7">
        <v>122</v>
      </c>
      <c r="F86" s="8">
        <v>0.47499999999999998</v>
      </c>
      <c r="G86" s="7">
        <v>0</v>
      </c>
      <c r="J86" s="10" t="str">
        <f t="shared" si="5"/>
        <v>nao</v>
      </c>
      <c r="K86" s="10" t="str">
        <f t="shared" si="6"/>
        <v>nao</v>
      </c>
      <c r="L86" s="10" t="str">
        <f t="shared" si="7"/>
        <v>nao</v>
      </c>
    </row>
    <row r="87" spans="1:12" x14ac:dyDescent="0.3">
      <c r="A87" s="5">
        <v>45897</v>
      </c>
      <c r="B87" s="6">
        <f t="shared" si="4"/>
        <v>5</v>
      </c>
      <c r="C87" s="7">
        <v>0</v>
      </c>
      <c r="E87" s="7">
        <v>123</v>
      </c>
      <c r="F87" s="8">
        <v>0.47847222222222224</v>
      </c>
      <c r="G87" s="7">
        <v>0</v>
      </c>
      <c r="J87" s="10" t="str">
        <f t="shared" si="5"/>
        <v>nao</v>
      </c>
      <c r="K87" s="10" t="str">
        <f t="shared" si="6"/>
        <v>nao</v>
      </c>
      <c r="L87" s="10" t="str">
        <f t="shared" si="7"/>
        <v>nao</v>
      </c>
    </row>
    <row r="88" spans="1:12" x14ac:dyDescent="0.3">
      <c r="A88" s="5">
        <v>45898</v>
      </c>
      <c r="B88" s="6">
        <f t="shared" si="4"/>
        <v>6</v>
      </c>
      <c r="C88" s="7">
        <v>0</v>
      </c>
      <c r="E88" s="7">
        <v>112</v>
      </c>
      <c r="F88" s="8">
        <v>0.47569444444444442</v>
      </c>
      <c r="G88" s="7">
        <v>0</v>
      </c>
      <c r="J88" s="10" t="str">
        <f t="shared" si="5"/>
        <v>nao</v>
      </c>
      <c r="K88" s="10" t="str">
        <f t="shared" si="6"/>
        <v>nao</v>
      </c>
      <c r="L88" s="10" t="str">
        <f t="shared" si="7"/>
        <v>nao</v>
      </c>
    </row>
    <row r="89" spans="1:12" x14ac:dyDescent="0.3">
      <c r="A89" s="5">
        <v>45899</v>
      </c>
      <c r="B89" s="6">
        <f t="shared" si="4"/>
        <v>7</v>
      </c>
      <c r="C89" s="7">
        <v>0</v>
      </c>
      <c r="E89" s="7">
        <v>184</v>
      </c>
      <c r="F89" s="8">
        <v>0.49652777777777779</v>
      </c>
      <c r="G89" s="7">
        <v>0</v>
      </c>
      <c r="J89" s="10" t="str">
        <f t="shared" si="5"/>
        <v>nao</v>
      </c>
      <c r="K89" s="10" t="str">
        <f t="shared" si="6"/>
        <v>nao</v>
      </c>
      <c r="L89" s="10" t="str">
        <f t="shared" si="7"/>
        <v>sim</v>
      </c>
    </row>
    <row r="90" spans="1:12" x14ac:dyDescent="0.3">
      <c r="A90" s="5">
        <v>45900</v>
      </c>
      <c r="B90" s="6">
        <f t="shared" si="4"/>
        <v>1</v>
      </c>
      <c r="C90" s="7">
        <v>0</v>
      </c>
      <c r="E90" s="7">
        <v>127</v>
      </c>
      <c r="F90" s="8">
        <v>0.4861111111111111</v>
      </c>
      <c r="G90" s="7">
        <v>0</v>
      </c>
      <c r="J90" s="10" t="str">
        <f t="shared" si="5"/>
        <v>nao</v>
      </c>
      <c r="K90" s="10" t="str">
        <f t="shared" si="6"/>
        <v>nao</v>
      </c>
      <c r="L90" s="10" t="str">
        <f t="shared" si="7"/>
        <v>nao</v>
      </c>
    </row>
    <row r="91" spans="1:12" x14ac:dyDescent="0.3">
      <c r="A91" s="5">
        <v>45901</v>
      </c>
      <c r="B91" s="6">
        <f t="shared" si="4"/>
        <v>2</v>
      </c>
      <c r="C91" s="7">
        <v>0</v>
      </c>
      <c r="E91" s="7">
        <v>162</v>
      </c>
      <c r="F91" s="8">
        <v>0.47986111111111113</v>
      </c>
      <c r="G91" s="7">
        <v>0</v>
      </c>
      <c r="J91" s="10" t="str">
        <f t="shared" si="5"/>
        <v>nao</v>
      </c>
      <c r="K91" s="10" t="str">
        <f t="shared" si="6"/>
        <v>nao</v>
      </c>
      <c r="L91" s="10" t="str">
        <f t="shared" si="7"/>
        <v>nao</v>
      </c>
    </row>
    <row r="92" spans="1:12" x14ac:dyDescent="0.3">
      <c r="A92" s="5">
        <v>45902</v>
      </c>
      <c r="B92" s="6">
        <f t="shared" si="4"/>
        <v>3</v>
      </c>
      <c r="C92" s="7">
        <v>212</v>
      </c>
      <c r="D92" s="8">
        <v>0.24583333333333332</v>
      </c>
      <c r="E92" s="7">
        <v>157</v>
      </c>
      <c r="F92" s="8">
        <v>0.47916666666666669</v>
      </c>
      <c r="G92" s="7">
        <v>0</v>
      </c>
      <c r="J92" s="10" t="str">
        <f t="shared" si="5"/>
        <v>sim</v>
      </c>
      <c r="K92" s="10" t="str">
        <f t="shared" si="6"/>
        <v>nao</v>
      </c>
      <c r="L92" s="10" t="str">
        <f t="shared" si="7"/>
        <v>nao</v>
      </c>
    </row>
    <row r="93" spans="1:12" x14ac:dyDescent="0.3">
      <c r="A93" s="5">
        <v>45903</v>
      </c>
      <c r="B93" s="6">
        <f t="shared" si="4"/>
        <v>4</v>
      </c>
      <c r="C93" s="7">
        <v>197</v>
      </c>
      <c r="D93" s="8">
        <v>0.27013888888888887</v>
      </c>
      <c r="E93" s="7">
        <v>152</v>
      </c>
      <c r="F93" s="8">
        <v>0.48541666666666666</v>
      </c>
      <c r="G93" s="7">
        <v>0</v>
      </c>
      <c r="J93" s="10" t="str">
        <f t="shared" si="5"/>
        <v>sim</v>
      </c>
      <c r="K93" s="10" t="str">
        <f t="shared" si="6"/>
        <v>nao</v>
      </c>
      <c r="L93" s="10" t="str">
        <f t="shared" si="7"/>
        <v>nao</v>
      </c>
    </row>
    <row r="94" spans="1:12" x14ac:dyDescent="0.3">
      <c r="A94" s="5">
        <v>45904</v>
      </c>
      <c r="B94" s="6">
        <f t="shared" si="4"/>
        <v>5</v>
      </c>
      <c r="C94" s="7">
        <v>0</v>
      </c>
      <c r="E94" s="7">
        <v>122</v>
      </c>
      <c r="F94" s="8">
        <v>0.47986111111111113</v>
      </c>
      <c r="G94" s="7">
        <v>0</v>
      </c>
      <c r="J94" s="10" t="str">
        <f t="shared" si="5"/>
        <v>nao</v>
      </c>
      <c r="K94" s="10" t="str">
        <f t="shared" si="6"/>
        <v>nao</v>
      </c>
      <c r="L94" s="10" t="str">
        <f t="shared" si="7"/>
        <v>nao</v>
      </c>
    </row>
    <row r="95" spans="1:12" x14ac:dyDescent="0.3">
      <c r="A95" s="5">
        <v>45905</v>
      </c>
      <c r="B95" s="6">
        <f t="shared" si="4"/>
        <v>6</v>
      </c>
      <c r="C95" s="7">
        <v>0</v>
      </c>
      <c r="E95" s="7">
        <v>113</v>
      </c>
      <c r="F95" s="8">
        <v>0.48402777777777778</v>
      </c>
      <c r="G95" s="7">
        <v>0</v>
      </c>
      <c r="J95" s="10" t="str">
        <f t="shared" si="5"/>
        <v>nao</v>
      </c>
      <c r="K95" s="10" t="str">
        <f t="shared" si="6"/>
        <v>nao</v>
      </c>
      <c r="L95" s="10" t="str">
        <f t="shared" si="7"/>
        <v>nao</v>
      </c>
    </row>
    <row r="96" spans="1:12" x14ac:dyDescent="0.3">
      <c r="A96" s="5">
        <v>45906</v>
      </c>
      <c r="B96" s="6">
        <f t="shared" si="4"/>
        <v>7</v>
      </c>
      <c r="C96" s="7">
        <v>0</v>
      </c>
      <c r="E96" s="7">
        <v>0</v>
      </c>
      <c r="G96" s="7">
        <v>0</v>
      </c>
      <c r="J96" s="10" t="str">
        <f t="shared" si="5"/>
        <v>nao</v>
      </c>
      <c r="K96" s="10" t="str">
        <f t="shared" si="6"/>
        <v>nao</v>
      </c>
      <c r="L96" s="10" t="str">
        <f t="shared" si="7"/>
        <v>nao</v>
      </c>
    </row>
    <row r="97" spans="1:12" x14ac:dyDescent="0.3">
      <c r="A97" s="5">
        <v>45907</v>
      </c>
      <c r="B97" s="6">
        <f t="shared" si="4"/>
        <v>1</v>
      </c>
      <c r="C97" s="7">
        <v>0</v>
      </c>
      <c r="E97" s="7">
        <v>0</v>
      </c>
      <c r="G97" s="7">
        <v>0</v>
      </c>
      <c r="J97" s="10" t="str">
        <f t="shared" si="5"/>
        <v>nao</v>
      </c>
      <c r="K97" s="10" t="str">
        <f t="shared" si="6"/>
        <v>nao</v>
      </c>
      <c r="L97" s="10" t="str">
        <f t="shared" si="7"/>
        <v>nao</v>
      </c>
    </row>
    <row r="98" spans="1:12" x14ac:dyDescent="0.3">
      <c r="A98" s="5">
        <v>45908</v>
      </c>
      <c r="B98" s="6">
        <f t="shared" si="4"/>
        <v>2</v>
      </c>
      <c r="C98" s="7">
        <v>0</v>
      </c>
      <c r="E98" s="7">
        <v>231</v>
      </c>
      <c r="F98" s="8">
        <v>0.47569444444444442</v>
      </c>
      <c r="G98" s="7">
        <v>143</v>
      </c>
      <c r="H98" s="8">
        <v>0.74375000000000002</v>
      </c>
      <c r="J98" s="10" t="str">
        <f t="shared" si="5"/>
        <v>nao</v>
      </c>
      <c r="K98" s="10" t="str">
        <f t="shared" si="6"/>
        <v>nao</v>
      </c>
      <c r="L98" s="10" t="str">
        <f t="shared" si="7"/>
        <v>sim</v>
      </c>
    </row>
    <row r="99" spans="1:12" x14ac:dyDescent="0.3">
      <c r="A99" s="5">
        <v>45909</v>
      </c>
      <c r="B99" s="6">
        <f t="shared" si="4"/>
        <v>3</v>
      </c>
      <c r="C99" s="7">
        <v>0</v>
      </c>
      <c r="E99" s="7">
        <v>185</v>
      </c>
      <c r="F99" s="8">
        <v>0.4777777777777778</v>
      </c>
      <c r="G99" s="7">
        <v>0</v>
      </c>
      <c r="J99" s="10" t="str">
        <f t="shared" si="5"/>
        <v>nao</v>
      </c>
      <c r="K99" s="10" t="str">
        <f t="shared" si="6"/>
        <v>nao</v>
      </c>
      <c r="L99" s="10" t="str">
        <f t="shared" si="7"/>
        <v>sim</v>
      </c>
    </row>
    <row r="100" spans="1:12" x14ac:dyDescent="0.3">
      <c r="A100" s="5">
        <v>45910</v>
      </c>
      <c r="B100" s="6">
        <f t="shared" si="4"/>
        <v>4</v>
      </c>
      <c r="C100" s="7">
        <v>0</v>
      </c>
      <c r="E100" s="7">
        <v>150</v>
      </c>
      <c r="F100" s="8">
        <v>0.47986111111111113</v>
      </c>
      <c r="G100" s="7">
        <v>0</v>
      </c>
      <c r="J100" s="10" t="str">
        <f t="shared" si="5"/>
        <v>nao</v>
      </c>
      <c r="K100" s="10" t="str">
        <f t="shared" si="6"/>
        <v>nao</v>
      </c>
      <c r="L100" s="10" t="str">
        <f t="shared" si="7"/>
        <v>nao</v>
      </c>
    </row>
    <row r="101" spans="1:12" x14ac:dyDescent="0.3">
      <c r="A101" s="5">
        <v>45911</v>
      </c>
      <c r="B101" s="6">
        <f t="shared" si="4"/>
        <v>5</v>
      </c>
      <c r="C101" s="7">
        <v>0</v>
      </c>
      <c r="E101" s="7">
        <v>126</v>
      </c>
      <c r="F101" s="8">
        <v>0.47638888888888886</v>
      </c>
      <c r="G101" s="7">
        <v>0</v>
      </c>
      <c r="J101" s="10" t="str">
        <f t="shared" si="5"/>
        <v>nao</v>
      </c>
      <c r="K101" s="10" t="str">
        <f t="shared" si="6"/>
        <v>nao</v>
      </c>
      <c r="L101" s="10" t="str">
        <f t="shared" si="7"/>
        <v>nao</v>
      </c>
    </row>
    <row r="102" spans="1:12" x14ac:dyDescent="0.3">
      <c r="A102" s="5">
        <v>45912</v>
      </c>
      <c r="B102" s="6">
        <f t="shared" si="4"/>
        <v>6</v>
      </c>
      <c r="C102" s="7">
        <v>0</v>
      </c>
      <c r="E102" s="7">
        <v>259</v>
      </c>
      <c r="F102" s="8">
        <v>0.48194444444444445</v>
      </c>
      <c r="G102" s="7">
        <v>0</v>
      </c>
      <c r="J102" s="10" t="str">
        <f t="shared" si="5"/>
        <v>nao</v>
      </c>
      <c r="K102" s="10" t="str">
        <f t="shared" si="6"/>
        <v>nao</v>
      </c>
      <c r="L102" s="10" t="str">
        <f t="shared" si="7"/>
        <v>sim</v>
      </c>
    </row>
    <row r="103" spans="1:12" x14ac:dyDescent="0.3">
      <c r="A103" s="5">
        <v>45913</v>
      </c>
      <c r="B103" s="6">
        <f t="shared" si="4"/>
        <v>7</v>
      </c>
      <c r="C103" s="7">
        <v>0</v>
      </c>
      <c r="E103" s="7">
        <v>172</v>
      </c>
      <c r="F103" s="8">
        <v>0.48333333333333334</v>
      </c>
      <c r="G103" s="7">
        <v>0</v>
      </c>
      <c r="J103" s="10" t="str">
        <f t="shared" si="5"/>
        <v>nao</v>
      </c>
      <c r="K103" s="10" t="str">
        <f t="shared" si="6"/>
        <v>nao</v>
      </c>
      <c r="L103" s="10" t="str">
        <f t="shared" si="7"/>
        <v>nao</v>
      </c>
    </row>
    <row r="104" spans="1:12" x14ac:dyDescent="0.3">
      <c r="A104" s="5">
        <v>45914</v>
      </c>
      <c r="B104" s="6">
        <f t="shared" si="4"/>
        <v>1</v>
      </c>
      <c r="C104" s="7">
        <v>169</v>
      </c>
      <c r="D104" s="8">
        <v>0.28125</v>
      </c>
      <c r="E104" s="7">
        <v>0</v>
      </c>
      <c r="G104" s="7">
        <v>0</v>
      </c>
      <c r="J104" s="10" t="str">
        <f t="shared" si="5"/>
        <v>nao</v>
      </c>
      <c r="K104" s="10" t="str">
        <f t="shared" si="6"/>
        <v>nao</v>
      </c>
      <c r="L104" s="10" t="str">
        <f t="shared" si="7"/>
        <v>nao</v>
      </c>
    </row>
    <row r="105" spans="1:12" x14ac:dyDescent="0.3">
      <c r="A105" s="5">
        <v>45915</v>
      </c>
      <c r="B105" s="6">
        <f t="shared" si="4"/>
        <v>2</v>
      </c>
      <c r="C105" s="7">
        <v>0</v>
      </c>
      <c r="E105" s="7">
        <v>183</v>
      </c>
      <c r="F105" s="8">
        <v>0.4861111111111111</v>
      </c>
      <c r="G105" s="7">
        <v>0</v>
      </c>
      <c r="J105" s="10" t="str">
        <f t="shared" si="5"/>
        <v>nao</v>
      </c>
      <c r="K105" s="10" t="str">
        <f t="shared" si="6"/>
        <v>nao</v>
      </c>
      <c r="L105" s="10" t="str">
        <f t="shared" si="7"/>
        <v>sim</v>
      </c>
    </row>
    <row r="106" spans="1:12" x14ac:dyDescent="0.3">
      <c r="A106" s="5">
        <v>45916</v>
      </c>
      <c r="B106" s="6">
        <f t="shared" si="4"/>
        <v>3</v>
      </c>
      <c r="C106" s="7">
        <v>0</v>
      </c>
      <c r="E106" s="7">
        <v>0</v>
      </c>
      <c r="G106" s="7">
        <v>0</v>
      </c>
      <c r="J106" s="10" t="str">
        <f t="shared" si="5"/>
        <v>nao</v>
      </c>
      <c r="K106" s="10" t="str">
        <f t="shared" si="6"/>
        <v>nao</v>
      </c>
      <c r="L106" s="10" t="str">
        <f t="shared" si="7"/>
        <v>nao</v>
      </c>
    </row>
    <row r="107" spans="1:12" x14ac:dyDescent="0.3">
      <c r="A107" s="5">
        <v>45917</v>
      </c>
      <c r="B107" s="6">
        <f t="shared" si="4"/>
        <v>4</v>
      </c>
      <c r="C107" s="7">
        <v>168</v>
      </c>
      <c r="D107" s="8">
        <v>0.23472222222222222</v>
      </c>
      <c r="E107" s="7">
        <v>0</v>
      </c>
      <c r="G107" s="7">
        <v>0</v>
      </c>
      <c r="J107" s="10" t="str">
        <f t="shared" si="5"/>
        <v>nao</v>
      </c>
      <c r="K107" s="10" t="str">
        <f t="shared" si="6"/>
        <v>nao</v>
      </c>
      <c r="L107" s="10" t="str">
        <f t="shared" si="7"/>
        <v>nao</v>
      </c>
    </row>
    <row r="108" spans="1:12" ht="33" x14ac:dyDescent="0.3">
      <c r="A108" s="5">
        <v>45918</v>
      </c>
      <c r="B108" s="6">
        <f t="shared" si="4"/>
        <v>5</v>
      </c>
      <c r="C108" s="7">
        <v>125</v>
      </c>
      <c r="D108" s="8">
        <v>0.28749999999999998</v>
      </c>
      <c r="E108" s="7">
        <v>113</v>
      </c>
      <c r="F108" s="8">
        <v>0.49513888888888891</v>
      </c>
      <c r="G108" s="7">
        <v>0</v>
      </c>
      <c r="I108" s="21" t="s">
        <v>39</v>
      </c>
      <c r="J108" s="10" t="str">
        <f t="shared" si="5"/>
        <v>nao</v>
      </c>
      <c r="K108" s="10" t="str">
        <f t="shared" si="6"/>
        <v>nao</v>
      </c>
      <c r="L108" s="10" t="str">
        <f t="shared" si="7"/>
        <v>nao</v>
      </c>
    </row>
    <row r="109" spans="1:12" x14ac:dyDescent="0.3">
      <c r="A109" s="5">
        <v>45919</v>
      </c>
      <c r="B109" s="6">
        <f t="shared" si="4"/>
        <v>6</v>
      </c>
      <c r="C109" s="7">
        <v>0</v>
      </c>
      <c r="E109" s="7">
        <v>0</v>
      </c>
      <c r="G109" s="7">
        <v>0</v>
      </c>
      <c r="J109" s="10" t="str">
        <f t="shared" si="5"/>
        <v>nao</v>
      </c>
      <c r="K109" s="10" t="str">
        <f t="shared" si="6"/>
        <v>nao</v>
      </c>
      <c r="L109" s="10" t="str">
        <f t="shared" si="7"/>
        <v>nao</v>
      </c>
    </row>
    <row r="110" spans="1:12" x14ac:dyDescent="0.3">
      <c r="A110" s="5">
        <v>45920</v>
      </c>
      <c r="B110" s="6">
        <f t="shared" si="4"/>
        <v>7</v>
      </c>
      <c r="C110" s="7">
        <v>158</v>
      </c>
      <c r="D110" s="8">
        <v>0.26250000000000001</v>
      </c>
      <c r="E110" s="7">
        <v>131</v>
      </c>
      <c r="F110" s="8">
        <v>0.47638888888888886</v>
      </c>
      <c r="G110" s="7">
        <v>0</v>
      </c>
      <c r="J110" s="10" t="str">
        <f t="shared" si="5"/>
        <v>nao</v>
      </c>
      <c r="K110" s="10" t="str">
        <f t="shared" si="6"/>
        <v>nao</v>
      </c>
      <c r="L110" s="10" t="str">
        <f t="shared" si="7"/>
        <v>nao</v>
      </c>
    </row>
    <row r="111" spans="1:12" x14ac:dyDescent="0.3">
      <c r="A111" s="5">
        <v>45921</v>
      </c>
      <c r="B111" s="6">
        <f t="shared" si="4"/>
        <v>1</v>
      </c>
      <c r="C111" s="7">
        <v>170</v>
      </c>
      <c r="D111" s="8">
        <v>0.27083333333333331</v>
      </c>
      <c r="E111" s="7">
        <v>146</v>
      </c>
      <c r="F111" s="8">
        <v>0.48888888888888887</v>
      </c>
      <c r="G111" s="7">
        <v>0</v>
      </c>
      <c r="J111" s="10" t="str">
        <f t="shared" si="5"/>
        <v>nao</v>
      </c>
      <c r="K111" s="10" t="str">
        <f t="shared" si="6"/>
        <v>nao</v>
      </c>
      <c r="L111" s="10" t="str">
        <f t="shared" si="7"/>
        <v>nao</v>
      </c>
    </row>
    <row r="112" spans="1:12" x14ac:dyDescent="0.3">
      <c r="A112" s="5">
        <v>45922</v>
      </c>
      <c r="B112" s="6">
        <f t="shared" si="4"/>
        <v>2</v>
      </c>
      <c r="C112" s="7">
        <v>195</v>
      </c>
      <c r="D112" s="8">
        <v>0.2388888888888889</v>
      </c>
      <c r="E112" s="7">
        <v>154</v>
      </c>
      <c r="F112" s="8">
        <v>0.48333333333333334</v>
      </c>
      <c r="G112" s="7">
        <v>0</v>
      </c>
      <c r="J112" s="10" t="str">
        <f t="shared" si="5"/>
        <v>sim</v>
      </c>
      <c r="K112" s="10" t="str">
        <f t="shared" si="6"/>
        <v>nao</v>
      </c>
      <c r="L112" s="10" t="str">
        <f t="shared" si="7"/>
        <v>nao</v>
      </c>
    </row>
    <row r="113" spans="1:12" x14ac:dyDescent="0.3">
      <c r="A113" s="5">
        <v>45923</v>
      </c>
      <c r="B113" s="6">
        <f t="shared" si="4"/>
        <v>3</v>
      </c>
      <c r="C113" s="7">
        <v>155</v>
      </c>
      <c r="D113" s="8">
        <v>0.23333333333333334</v>
      </c>
      <c r="E113" s="7">
        <v>170</v>
      </c>
      <c r="F113" s="8">
        <v>0.47569444444444442</v>
      </c>
      <c r="G113" s="7">
        <v>0</v>
      </c>
      <c r="J113" s="10" t="str">
        <f t="shared" si="5"/>
        <v>nao</v>
      </c>
      <c r="K113" s="10" t="str">
        <f t="shared" si="6"/>
        <v>nao</v>
      </c>
      <c r="L113" s="10" t="str">
        <f t="shared" si="7"/>
        <v>nao</v>
      </c>
    </row>
    <row r="114" spans="1:12" x14ac:dyDescent="0.3">
      <c r="A114" s="5">
        <v>45924</v>
      </c>
      <c r="B114" s="6">
        <f t="shared" si="4"/>
        <v>4</v>
      </c>
      <c r="C114" s="7">
        <v>193</v>
      </c>
      <c r="D114" s="8">
        <v>0.2388888888888889</v>
      </c>
      <c r="E114" s="7">
        <v>142</v>
      </c>
      <c r="F114" s="8">
        <v>0.49583333333333335</v>
      </c>
      <c r="G114" s="7">
        <v>187</v>
      </c>
      <c r="H114" s="8">
        <v>0.70625000000000004</v>
      </c>
      <c r="J114" s="10" t="str">
        <f t="shared" si="5"/>
        <v>sim</v>
      </c>
      <c r="K114" s="10" t="str">
        <f t="shared" si="6"/>
        <v>nao</v>
      </c>
      <c r="L114" s="10" t="str">
        <f t="shared" si="7"/>
        <v>nao</v>
      </c>
    </row>
    <row r="115" spans="1:12" x14ac:dyDescent="0.3">
      <c r="A115" s="5">
        <v>45925</v>
      </c>
      <c r="B115" s="6">
        <f t="shared" si="4"/>
        <v>5</v>
      </c>
      <c r="C115" s="7">
        <v>0</v>
      </c>
      <c r="E115" s="7">
        <v>157</v>
      </c>
      <c r="F115" s="8">
        <v>0.48472222222222222</v>
      </c>
      <c r="G115" s="7">
        <v>0</v>
      </c>
      <c r="J115" s="10" t="str">
        <f t="shared" si="5"/>
        <v>nao</v>
      </c>
      <c r="K115" s="10" t="str">
        <f t="shared" si="6"/>
        <v>nao</v>
      </c>
      <c r="L115" s="10" t="str">
        <f t="shared" si="7"/>
        <v>nao</v>
      </c>
    </row>
    <row r="116" spans="1:12" x14ac:dyDescent="0.3">
      <c r="A116" s="5">
        <v>45926</v>
      </c>
      <c r="B116" s="6">
        <f t="shared" si="4"/>
        <v>6</v>
      </c>
      <c r="C116" s="7">
        <v>177</v>
      </c>
      <c r="D116" s="8">
        <v>0.2298611111111111</v>
      </c>
      <c r="E116" s="7">
        <v>140</v>
      </c>
      <c r="F116" s="8">
        <v>0.47986111111111113</v>
      </c>
      <c r="G116" s="7">
        <v>163</v>
      </c>
      <c r="H116" s="8">
        <v>0.72222222222222221</v>
      </c>
      <c r="J116" s="10" t="str">
        <f t="shared" si="5"/>
        <v>nao</v>
      </c>
      <c r="K116" s="10" t="str">
        <f t="shared" si="6"/>
        <v>nao</v>
      </c>
      <c r="L116" s="10" t="str">
        <f t="shared" si="7"/>
        <v>nao</v>
      </c>
    </row>
    <row r="117" spans="1:12" x14ac:dyDescent="0.3">
      <c r="A117" s="5">
        <v>45927</v>
      </c>
      <c r="B117" s="6">
        <f t="shared" si="4"/>
        <v>7</v>
      </c>
      <c r="C117" s="7">
        <v>0</v>
      </c>
      <c r="E117" s="7">
        <v>181</v>
      </c>
      <c r="F117" s="8">
        <v>0.48749999999999999</v>
      </c>
      <c r="G117" s="7">
        <v>0</v>
      </c>
      <c r="J117" s="10" t="str">
        <f t="shared" si="5"/>
        <v>nao</v>
      </c>
      <c r="K117" s="10" t="str">
        <f t="shared" si="6"/>
        <v>nao</v>
      </c>
      <c r="L117" s="10" t="str">
        <f t="shared" si="7"/>
        <v>sim</v>
      </c>
    </row>
    <row r="118" spans="1:12" x14ac:dyDescent="0.3">
      <c r="A118" s="5">
        <v>45928</v>
      </c>
      <c r="B118" s="6">
        <f t="shared" si="4"/>
        <v>1</v>
      </c>
      <c r="C118" s="7">
        <v>0</v>
      </c>
      <c r="E118" s="7">
        <v>0</v>
      </c>
      <c r="G118" s="7">
        <v>0</v>
      </c>
      <c r="J118" s="10" t="str">
        <f t="shared" si="5"/>
        <v>nao</v>
      </c>
      <c r="K118" s="10" t="str">
        <f t="shared" si="6"/>
        <v>nao</v>
      </c>
      <c r="L118" s="10" t="str">
        <f t="shared" si="7"/>
        <v>nao</v>
      </c>
    </row>
    <row r="119" spans="1:12" x14ac:dyDescent="0.3">
      <c r="A119" s="5">
        <v>45929</v>
      </c>
      <c r="B119" s="6">
        <f t="shared" si="4"/>
        <v>2</v>
      </c>
      <c r="C119" s="7">
        <v>174</v>
      </c>
      <c r="D119" s="8">
        <v>0.23125000000000001</v>
      </c>
      <c r="E119" s="7">
        <v>138</v>
      </c>
      <c r="F119" s="8">
        <v>0.47569444444444442</v>
      </c>
      <c r="G119" s="7">
        <v>0</v>
      </c>
      <c r="J119" s="10" t="str">
        <f t="shared" si="5"/>
        <v>nao</v>
      </c>
      <c r="K119" s="10" t="str">
        <f t="shared" si="6"/>
        <v>nao</v>
      </c>
      <c r="L119" s="10" t="str">
        <f t="shared" si="7"/>
        <v>nao</v>
      </c>
    </row>
    <row r="120" spans="1:12" x14ac:dyDescent="0.3">
      <c r="A120" s="5">
        <v>45930</v>
      </c>
      <c r="B120" s="6">
        <f t="shared" si="4"/>
        <v>3</v>
      </c>
      <c r="C120" s="7">
        <v>0</v>
      </c>
      <c r="E120" s="7">
        <v>128</v>
      </c>
      <c r="F120" s="8">
        <v>0.47499999999999998</v>
      </c>
      <c r="G120" s="7">
        <v>0</v>
      </c>
      <c r="J120" s="10" t="str">
        <f t="shared" si="5"/>
        <v>nao</v>
      </c>
      <c r="K120" s="10" t="str">
        <f t="shared" si="6"/>
        <v>nao</v>
      </c>
      <c r="L120" s="10" t="str">
        <f t="shared" si="7"/>
        <v>nao</v>
      </c>
    </row>
    <row r="121" spans="1:12" x14ac:dyDescent="0.3">
      <c r="A121" s="5">
        <v>45931</v>
      </c>
      <c r="B121" s="6">
        <f t="shared" si="4"/>
        <v>4</v>
      </c>
      <c r="C121" s="7">
        <v>0</v>
      </c>
      <c r="E121" s="7">
        <v>132</v>
      </c>
      <c r="F121" s="8">
        <v>0.47916666666666669</v>
      </c>
      <c r="G121" s="7">
        <v>169</v>
      </c>
      <c r="H121" s="8">
        <v>0.70972222222222225</v>
      </c>
      <c r="J121" s="10" t="str">
        <f t="shared" si="5"/>
        <v>nao</v>
      </c>
      <c r="K121" s="10" t="str">
        <f t="shared" si="6"/>
        <v>nao</v>
      </c>
      <c r="L121" s="10" t="str">
        <f t="shared" si="7"/>
        <v>nao</v>
      </c>
    </row>
    <row r="122" spans="1:12" x14ac:dyDescent="0.3">
      <c r="A122" s="5">
        <v>45932</v>
      </c>
      <c r="B122" s="6">
        <f t="shared" si="4"/>
        <v>5</v>
      </c>
      <c r="C122" s="7">
        <v>178</v>
      </c>
      <c r="D122" s="8">
        <v>0.22569444444444445</v>
      </c>
      <c r="E122" s="7">
        <v>120</v>
      </c>
      <c r="F122" s="8">
        <v>0.48194444444444445</v>
      </c>
      <c r="G122" s="7">
        <v>0</v>
      </c>
      <c r="J122" s="10" t="str">
        <f t="shared" si="5"/>
        <v>nao</v>
      </c>
      <c r="K122" s="10" t="str">
        <f t="shared" si="6"/>
        <v>nao</v>
      </c>
      <c r="L122" s="10" t="str">
        <f t="shared" si="7"/>
        <v>nao</v>
      </c>
    </row>
    <row r="123" spans="1:12" x14ac:dyDescent="0.3">
      <c r="A123" s="5">
        <v>45933</v>
      </c>
      <c r="B123" s="6">
        <f t="shared" si="4"/>
        <v>6</v>
      </c>
      <c r="C123" s="7">
        <v>0</v>
      </c>
      <c r="E123" s="7">
        <v>124</v>
      </c>
      <c r="F123" s="8">
        <v>0.4777777777777778</v>
      </c>
      <c r="G123" s="7">
        <v>0</v>
      </c>
      <c r="J123" s="10" t="str">
        <f t="shared" si="5"/>
        <v>nao</v>
      </c>
      <c r="K123" s="10" t="str">
        <f t="shared" si="6"/>
        <v>nao</v>
      </c>
      <c r="L123" s="10" t="str">
        <f t="shared" si="7"/>
        <v>nao</v>
      </c>
    </row>
    <row r="124" spans="1:12" x14ac:dyDescent="0.3">
      <c r="A124" s="5">
        <v>45934</v>
      </c>
      <c r="B124" s="6">
        <f t="shared" si="4"/>
        <v>7</v>
      </c>
      <c r="C124" s="7">
        <v>0</v>
      </c>
      <c r="E124" s="7">
        <v>0</v>
      </c>
      <c r="G124" s="7">
        <v>0</v>
      </c>
      <c r="J124" s="10" t="str">
        <f t="shared" si="5"/>
        <v>nao</v>
      </c>
      <c r="K124" s="10" t="str">
        <f t="shared" si="6"/>
        <v>nao</v>
      </c>
      <c r="L124" s="10" t="str">
        <f t="shared" si="7"/>
        <v>nao</v>
      </c>
    </row>
    <row r="125" spans="1:12" x14ac:dyDescent="0.3">
      <c r="A125" s="5">
        <v>45935</v>
      </c>
      <c r="B125" s="6">
        <f t="shared" si="4"/>
        <v>1</v>
      </c>
      <c r="C125" s="7">
        <v>192</v>
      </c>
      <c r="D125" s="8">
        <v>0.27083333333333331</v>
      </c>
      <c r="E125" s="7">
        <v>0</v>
      </c>
      <c r="G125" s="7">
        <v>0</v>
      </c>
      <c r="J125" s="10" t="str">
        <f t="shared" si="5"/>
        <v>sim</v>
      </c>
      <c r="K125" s="10" t="str">
        <f t="shared" si="6"/>
        <v>nao</v>
      </c>
      <c r="L125" s="10" t="str">
        <f t="shared" si="7"/>
        <v>nao</v>
      </c>
    </row>
    <row r="126" spans="1:12" x14ac:dyDescent="0.3">
      <c r="A126" s="5">
        <v>45936</v>
      </c>
      <c r="B126" s="6">
        <f t="shared" si="4"/>
        <v>2</v>
      </c>
      <c r="C126" s="7">
        <v>191</v>
      </c>
      <c r="D126" s="8">
        <v>0.2361111111111111</v>
      </c>
      <c r="E126" s="7">
        <v>93</v>
      </c>
      <c r="F126" s="8">
        <v>0.4777777777777778</v>
      </c>
      <c r="G126" s="7">
        <v>138</v>
      </c>
      <c r="H126" s="8">
        <v>0.70902777777777781</v>
      </c>
      <c r="J126" s="10" t="str">
        <f t="shared" si="5"/>
        <v>sim</v>
      </c>
      <c r="K126" s="10" t="str">
        <f t="shared" si="6"/>
        <v>nao</v>
      </c>
      <c r="L126" s="10" t="str">
        <f t="shared" si="7"/>
        <v>nao</v>
      </c>
    </row>
    <row r="127" spans="1:12" x14ac:dyDescent="0.3">
      <c r="A127" s="5">
        <v>45937</v>
      </c>
      <c r="B127" s="6">
        <f t="shared" si="4"/>
        <v>3</v>
      </c>
      <c r="C127" s="7">
        <v>0</v>
      </c>
      <c r="E127" s="7">
        <v>0</v>
      </c>
      <c r="G127" s="7">
        <v>0</v>
      </c>
      <c r="J127" s="10" t="str">
        <f t="shared" si="5"/>
        <v>nao</v>
      </c>
      <c r="K127" s="10" t="str">
        <f t="shared" si="6"/>
        <v>nao</v>
      </c>
      <c r="L127" s="10" t="str">
        <f t="shared" si="7"/>
        <v>nao</v>
      </c>
    </row>
    <row r="128" spans="1:12" x14ac:dyDescent="0.3">
      <c r="A128" s="5">
        <v>45938</v>
      </c>
      <c r="B128" s="6">
        <f t="shared" si="4"/>
        <v>4</v>
      </c>
      <c r="C128" s="7">
        <v>0</v>
      </c>
      <c r="E128" s="7">
        <v>125</v>
      </c>
      <c r="F128" s="8">
        <v>0.47916666666666669</v>
      </c>
      <c r="G128" s="7">
        <v>163</v>
      </c>
      <c r="H128" s="8">
        <v>0.70763888888888893</v>
      </c>
      <c r="J128" s="10" t="str">
        <f t="shared" si="5"/>
        <v>nao</v>
      </c>
      <c r="K128" s="10" t="str">
        <f t="shared" si="6"/>
        <v>nao</v>
      </c>
      <c r="L128" s="10" t="str">
        <f t="shared" si="7"/>
        <v>nao</v>
      </c>
    </row>
    <row r="129" spans="1:12" x14ac:dyDescent="0.3">
      <c r="A129" s="5">
        <v>45939</v>
      </c>
      <c r="B129" s="6">
        <f t="shared" si="4"/>
        <v>5</v>
      </c>
      <c r="C129" s="7">
        <v>171</v>
      </c>
      <c r="D129" s="8">
        <v>0.23055555555555557</v>
      </c>
      <c r="E129" s="7">
        <v>126</v>
      </c>
      <c r="F129" s="8">
        <v>0.47152777777777777</v>
      </c>
      <c r="G129" s="7">
        <v>0</v>
      </c>
      <c r="J129" s="10" t="str">
        <f t="shared" si="5"/>
        <v>nao</v>
      </c>
      <c r="K129" s="10" t="str">
        <f t="shared" si="6"/>
        <v>nao</v>
      </c>
      <c r="L129" s="10" t="str">
        <f t="shared" si="7"/>
        <v>nao</v>
      </c>
    </row>
    <row r="130" spans="1:12" x14ac:dyDescent="0.3">
      <c r="A130" s="5">
        <v>45940</v>
      </c>
      <c r="B130" s="6">
        <f t="shared" ref="B130:B193" si="8">WEEKDAY(A130)</f>
        <v>6</v>
      </c>
      <c r="C130" s="7">
        <v>186</v>
      </c>
      <c r="D130" s="8">
        <v>0.23819444444444443</v>
      </c>
      <c r="E130" s="7">
        <v>151</v>
      </c>
      <c r="F130" s="8">
        <v>0.47847222222222224</v>
      </c>
      <c r="G130" s="7">
        <v>127</v>
      </c>
      <c r="H130" s="8">
        <v>0.71666666666666667</v>
      </c>
      <c r="J130" s="10" t="str">
        <f t="shared" ref="J130:J193" si="9">IF((C130)&gt;=180,"sim","nao")</f>
        <v>sim</v>
      </c>
      <c r="K130" s="23" t="str">
        <f t="shared" ref="K130:K193" si="10">IF((D130)&gt;=180,"sim","nao")</f>
        <v>nao</v>
      </c>
      <c r="L130" s="10" t="str">
        <f t="shared" ref="L130:L193" si="11">IF((E130)&gt;=180,"sim","nao")</f>
        <v>nao</v>
      </c>
    </row>
    <row r="131" spans="1:12" x14ac:dyDescent="0.3">
      <c r="A131" s="5">
        <v>45941</v>
      </c>
      <c r="B131" s="6">
        <f t="shared" si="8"/>
        <v>7</v>
      </c>
      <c r="C131" s="7">
        <v>181</v>
      </c>
      <c r="D131" s="8">
        <v>0.25277777777777777</v>
      </c>
      <c r="E131" s="7">
        <v>141</v>
      </c>
      <c r="F131" s="8">
        <v>0.47916666666666669</v>
      </c>
      <c r="G131" s="7">
        <v>0</v>
      </c>
      <c r="J131" s="10" t="str">
        <f t="shared" si="9"/>
        <v>sim</v>
      </c>
      <c r="K131" s="10" t="str">
        <f t="shared" si="10"/>
        <v>nao</v>
      </c>
      <c r="L131" s="10" t="str">
        <f t="shared" si="11"/>
        <v>nao</v>
      </c>
    </row>
    <row r="132" spans="1:12" x14ac:dyDescent="0.3">
      <c r="A132" s="5">
        <v>45942</v>
      </c>
      <c r="B132" s="6">
        <f t="shared" si="8"/>
        <v>1</v>
      </c>
      <c r="C132" s="7">
        <v>0</v>
      </c>
      <c r="E132" s="7">
        <v>139</v>
      </c>
      <c r="F132" s="8">
        <v>0.47916666666666669</v>
      </c>
      <c r="G132" s="7">
        <v>0</v>
      </c>
      <c r="J132" s="10" t="str">
        <f t="shared" si="9"/>
        <v>nao</v>
      </c>
      <c r="K132" s="10" t="str">
        <f t="shared" si="10"/>
        <v>nao</v>
      </c>
      <c r="L132" s="10" t="str">
        <f t="shared" si="11"/>
        <v>nao</v>
      </c>
    </row>
    <row r="133" spans="1:12" x14ac:dyDescent="0.3">
      <c r="A133" s="5">
        <v>45943</v>
      </c>
      <c r="B133" s="6">
        <f t="shared" si="8"/>
        <v>2</v>
      </c>
      <c r="C133" s="7">
        <v>179</v>
      </c>
      <c r="D133" s="8">
        <v>0.2388888888888889</v>
      </c>
      <c r="E133" s="7">
        <v>157</v>
      </c>
      <c r="F133" s="8">
        <v>0.47986111111111113</v>
      </c>
      <c r="G133" s="7">
        <v>157</v>
      </c>
      <c r="H133" s="8">
        <v>0.69930555555555551</v>
      </c>
      <c r="J133" s="10" t="str">
        <f t="shared" si="9"/>
        <v>nao</v>
      </c>
      <c r="K133" s="10" t="str">
        <f t="shared" si="10"/>
        <v>nao</v>
      </c>
      <c r="L133" s="10" t="str">
        <f t="shared" si="11"/>
        <v>nao</v>
      </c>
    </row>
    <row r="134" spans="1:12" x14ac:dyDescent="0.3">
      <c r="A134" s="5">
        <v>45944</v>
      </c>
      <c r="B134" s="6">
        <f t="shared" si="8"/>
        <v>3</v>
      </c>
      <c r="C134" s="7">
        <v>0</v>
      </c>
      <c r="E134" s="7">
        <v>133</v>
      </c>
      <c r="F134" s="8">
        <v>0.47638888888888886</v>
      </c>
      <c r="G134" s="7">
        <v>0</v>
      </c>
      <c r="J134" s="10" t="str">
        <f t="shared" si="9"/>
        <v>nao</v>
      </c>
      <c r="K134" s="10" t="str">
        <f t="shared" si="10"/>
        <v>nao</v>
      </c>
      <c r="L134" s="10" t="str">
        <f t="shared" si="11"/>
        <v>nao</v>
      </c>
    </row>
    <row r="135" spans="1:12" x14ac:dyDescent="0.3">
      <c r="A135" s="5">
        <v>45945</v>
      </c>
      <c r="B135" s="6">
        <f t="shared" si="8"/>
        <v>4</v>
      </c>
      <c r="C135" s="7">
        <v>0</v>
      </c>
      <c r="E135" s="7">
        <v>121</v>
      </c>
      <c r="F135" s="8">
        <v>0.47638888888888886</v>
      </c>
      <c r="G135" s="7">
        <v>0</v>
      </c>
      <c r="J135" s="10" t="str">
        <f t="shared" si="9"/>
        <v>nao</v>
      </c>
      <c r="K135" s="10" t="str">
        <f t="shared" si="10"/>
        <v>nao</v>
      </c>
      <c r="L135" s="10" t="str">
        <f t="shared" si="11"/>
        <v>nao</v>
      </c>
    </row>
    <row r="136" spans="1:12" x14ac:dyDescent="0.3">
      <c r="A136" s="5">
        <v>45946</v>
      </c>
      <c r="B136" s="6">
        <f t="shared" si="8"/>
        <v>5</v>
      </c>
      <c r="C136" s="7">
        <v>0</v>
      </c>
      <c r="E136" s="7">
        <v>129</v>
      </c>
      <c r="F136" s="8">
        <v>0.47916666666666669</v>
      </c>
      <c r="G136" s="7">
        <v>0</v>
      </c>
      <c r="J136" s="10" t="str">
        <f t="shared" si="9"/>
        <v>nao</v>
      </c>
      <c r="K136" s="10" t="str">
        <f t="shared" si="10"/>
        <v>nao</v>
      </c>
      <c r="L136" s="10" t="str">
        <f t="shared" si="11"/>
        <v>nao</v>
      </c>
    </row>
    <row r="137" spans="1:12" x14ac:dyDescent="0.3">
      <c r="A137" s="5">
        <v>45947</v>
      </c>
      <c r="B137" s="6">
        <f t="shared" si="8"/>
        <v>6</v>
      </c>
      <c r="C137" s="7">
        <v>0</v>
      </c>
      <c r="E137" s="7">
        <v>131</v>
      </c>
      <c r="F137" s="8">
        <v>0.47638888888888886</v>
      </c>
      <c r="G137" s="7">
        <v>0</v>
      </c>
      <c r="J137" s="10" t="str">
        <f t="shared" si="9"/>
        <v>nao</v>
      </c>
      <c r="K137" s="10" t="str">
        <f t="shared" si="10"/>
        <v>nao</v>
      </c>
      <c r="L137" s="10" t="str">
        <f t="shared" si="11"/>
        <v>nao</v>
      </c>
    </row>
    <row r="138" spans="1:12" x14ac:dyDescent="0.3">
      <c r="A138" s="5">
        <v>45948</v>
      </c>
      <c r="B138" s="6">
        <f t="shared" si="8"/>
        <v>7</v>
      </c>
      <c r="C138" s="7">
        <v>220</v>
      </c>
      <c r="D138" s="8">
        <v>0.24444444444444444</v>
      </c>
      <c r="E138" s="7">
        <v>125</v>
      </c>
      <c r="F138" s="8">
        <v>0.48194444444444445</v>
      </c>
      <c r="G138" s="7">
        <v>0</v>
      </c>
      <c r="J138" s="10" t="str">
        <f t="shared" si="9"/>
        <v>sim</v>
      </c>
      <c r="K138" s="10" t="str">
        <f t="shared" si="10"/>
        <v>nao</v>
      </c>
      <c r="L138" s="10" t="str">
        <f t="shared" si="11"/>
        <v>nao</v>
      </c>
    </row>
    <row r="139" spans="1:12" x14ac:dyDescent="0.3">
      <c r="A139" s="5">
        <v>45949</v>
      </c>
      <c r="B139" s="6">
        <f t="shared" si="8"/>
        <v>1</v>
      </c>
      <c r="C139" s="7">
        <v>219</v>
      </c>
      <c r="D139" s="8">
        <v>0.29722222222222222</v>
      </c>
      <c r="E139" s="7">
        <v>168</v>
      </c>
      <c r="F139" s="8">
        <v>0.49305555555555558</v>
      </c>
      <c r="G139" s="7">
        <v>0</v>
      </c>
      <c r="J139" s="10" t="str">
        <f t="shared" si="9"/>
        <v>sim</v>
      </c>
      <c r="K139" s="10" t="str">
        <f t="shared" si="10"/>
        <v>nao</v>
      </c>
      <c r="L139" s="10" t="str">
        <f t="shared" si="11"/>
        <v>nao</v>
      </c>
    </row>
    <row r="140" spans="1:12" x14ac:dyDescent="0.3">
      <c r="A140" s="5">
        <v>45950</v>
      </c>
      <c r="B140" s="6">
        <f t="shared" si="8"/>
        <v>2</v>
      </c>
      <c r="C140" s="7">
        <v>188</v>
      </c>
      <c r="D140" s="8">
        <v>0.22361111111111112</v>
      </c>
      <c r="E140" s="7">
        <v>125</v>
      </c>
      <c r="F140" s="8">
        <v>0.47986111111111113</v>
      </c>
      <c r="G140" s="7">
        <v>0</v>
      </c>
      <c r="J140" s="10" t="str">
        <f t="shared" si="9"/>
        <v>sim</v>
      </c>
      <c r="K140" s="10" t="str">
        <f t="shared" si="10"/>
        <v>nao</v>
      </c>
      <c r="L140" s="10" t="str">
        <f t="shared" si="11"/>
        <v>nao</v>
      </c>
    </row>
    <row r="141" spans="1:12" x14ac:dyDescent="0.3">
      <c r="A141" s="5">
        <v>45951</v>
      </c>
      <c r="B141" s="6">
        <f t="shared" si="8"/>
        <v>3</v>
      </c>
      <c r="C141" s="7">
        <v>169</v>
      </c>
      <c r="D141" s="8">
        <v>0.22430555555555556</v>
      </c>
      <c r="E141" s="7">
        <v>129</v>
      </c>
      <c r="F141" s="8">
        <v>0.48125000000000001</v>
      </c>
      <c r="G141" s="7">
        <v>162</v>
      </c>
      <c r="H141" s="8">
        <v>0.70972222222222225</v>
      </c>
      <c r="J141" s="10" t="str">
        <f t="shared" si="9"/>
        <v>nao</v>
      </c>
      <c r="K141" s="10" t="str">
        <f t="shared" si="10"/>
        <v>nao</v>
      </c>
      <c r="L141" s="10" t="str">
        <f t="shared" si="11"/>
        <v>nao</v>
      </c>
    </row>
    <row r="142" spans="1:12" x14ac:dyDescent="0.3">
      <c r="A142" s="5">
        <v>45952</v>
      </c>
      <c r="B142" s="6">
        <f t="shared" si="8"/>
        <v>4</v>
      </c>
      <c r="C142" s="7">
        <v>202</v>
      </c>
      <c r="D142" s="8">
        <v>0.24097222222222223</v>
      </c>
      <c r="E142" s="7">
        <v>119</v>
      </c>
      <c r="F142" s="8">
        <v>0.47569444444444442</v>
      </c>
      <c r="G142" s="7">
        <v>0</v>
      </c>
      <c r="J142" s="10" t="str">
        <f t="shared" si="9"/>
        <v>sim</v>
      </c>
      <c r="K142" s="10" t="str">
        <f t="shared" si="10"/>
        <v>nao</v>
      </c>
      <c r="L142" s="10" t="str">
        <f t="shared" si="11"/>
        <v>nao</v>
      </c>
    </row>
    <row r="143" spans="1:12" x14ac:dyDescent="0.3">
      <c r="A143" s="5">
        <v>45953</v>
      </c>
      <c r="B143" s="6">
        <f t="shared" si="8"/>
        <v>5</v>
      </c>
      <c r="C143" s="7">
        <v>174</v>
      </c>
      <c r="D143" s="8">
        <v>0.22013888888888888</v>
      </c>
      <c r="E143" s="7">
        <v>144</v>
      </c>
      <c r="F143" s="8">
        <v>0.48402777777777778</v>
      </c>
      <c r="G143" s="7">
        <v>0</v>
      </c>
      <c r="J143" s="10" t="str">
        <f t="shared" si="9"/>
        <v>nao</v>
      </c>
      <c r="K143" s="10" t="str">
        <f t="shared" si="10"/>
        <v>nao</v>
      </c>
      <c r="L143" s="10" t="str">
        <f t="shared" si="11"/>
        <v>nao</v>
      </c>
    </row>
    <row r="144" spans="1:12" x14ac:dyDescent="0.3">
      <c r="A144" s="5">
        <v>45954</v>
      </c>
      <c r="B144" s="6">
        <f t="shared" si="8"/>
        <v>6</v>
      </c>
      <c r="C144" s="7">
        <v>177</v>
      </c>
      <c r="D144" s="8">
        <v>0.22222222222222221</v>
      </c>
      <c r="E144" s="7">
        <v>114</v>
      </c>
      <c r="F144" s="8">
        <v>0.48958333333333331</v>
      </c>
      <c r="G144" s="7">
        <v>142</v>
      </c>
      <c r="H144" s="8">
        <v>0.70763888888888893</v>
      </c>
      <c r="J144" s="10" t="str">
        <f t="shared" si="9"/>
        <v>nao</v>
      </c>
      <c r="K144" s="10" t="str">
        <f t="shared" si="10"/>
        <v>nao</v>
      </c>
      <c r="L144" s="10" t="str">
        <f t="shared" si="11"/>
        <v>nao</v>
      </c>
    </row>
    <row r="145" spans="1:12" x14ac:dyDescent="0.3">
      <c r="A145" s="5">
        <v>45955</v>
      </c>
      <c r="B145" s="6">
        <f t="shared" si="8"/>
        <v>7</v>
      </c>
      <c r="C145" s="7">
        <v>195</v>
      </c>
      <c r="D145" s="8">
        <v>0.22708333333333333</v>
      </c>
      <c r="E145" s="7">
        <v>124</v>
      </c>
      <c r="F145" s="8">
        <v>0.50208333333333333</v>
      </c>
      <c r="G145" s="7">
        <v>0</v>
      </c>
      <c r="J145" s="10" t="str">
        <f t="shared" si="9"/>
        <v>sim</v>
      </c>
      <c r="K145" s="10" t="str">
        <f t="shared" si="10"/>
        <v>nao</v>
      </c>
      <c r="L145" s="10" t="str">
        <f t="shared" si="11"/>
        <v>nao</v>
      </c>
    </row>
    <row r="146" spans="1:12" x14ac:dyDescent="0.3">
      <c r="A146" s="5">
        <v>45956</v>
      </c>
      <c r="B146" s="6">
        <f t="shared" si="8"/>
        <v>1</v>
      </c>
      <c r="C146" s="7">
        <v>172</v>
      </c>
      <c r="D146" s="8">
        <v>0.28263888888888888</v>
      </c>
      <c r="E146" s="7">
        <v>0</v>
      </c>
      <c r="G146" s="7">
        <v>0</v>
      </c>
      <c r="J146" s="10" t="str">
        <f t="shared" si="9"/>
        <v>nao</v>
      </c>
      <c r="K146" s="10" t="str">
        <f t="shared" si="10"/>
        <v>nao</v>
      </c>
      <c r="L146" s="10" t="str">
        <f t="shared" si="11"/>
        <v>nao</v>
      </c>
    </row>
    <row r="147" spans="1:12" x14ac:dyDescent="0.3">
      <c r="A147" s="5">
        <v>45957</v>
      </c>
      <c r="B147" s="6">
        <f t="shared" si="8"/>
        <v>2</v>
      </c>
      <c r="C147" s="7">
        <v>205</v>
      </c>
      <c r="D147" s="8">
        <v>0.22708333333333333</v>
      </c>
      <c r="E147" s="7">
        <v>0</v>
      </c>
      <c r="G147" s="7">
        <v>0</v>
      </c>
      <c r="J147" s="10" t="str">
        <f t="shared" si="9"/>
        <v>sim</v>
      </c>
      <c r="K147" s="10" t="str">
        <f t="shared" si="10"/>
        <v>nao</v>
      </c>
      <c r="L147" s="10" t="str">
        <f t="shared" si="11"/>
        <v>nao</v>
      </c>
    </row>
    <row r="148" spans="1:12" x14ac:dyDescent="0.3">
      <c r="A148" s="5">
        <v>45958</v>
      </c>
      <c r="B148" s="6">
        <f t="shared" si="8"/>
        <v>3</v>
      </c>
      <c r="C148" s="7">
        <v>197</v>
      </c>
      <c r="D148" s="8">
        <v>0.22152777777777777</v>
      </c>
      <c r="E148" s="7">
        <v>154</v>
      </c>
      <c r="F148" s="8">
        <v>0.47916666666666669</v>
      </c>
      <c r="G148" s="7">
        <v>144</v>
      </c>
      <c r="H148" s="8">
        <v>0.71736111111111112</v>
      </c>
      <c r="J148" s="10" t="str">
        <f t="shared" si="9"/>
        <v>sim</v>
      </c>
      <c r="K148" s="10" t="str">
        <f t="shared" si="10"/>
        <v>nao</v>
      </c>
      <c r="L148" s="10" t="str">
        <f t="shared" si="11"/>
        <v>nao</v>
      </c>
    </row>
    <row r="149" spans="1:12" x14ac:dyDescent="0.3">
      <c r="A149" s="5">
        <v>45959</v>
      </c>
      <c r="B149" s="6">
        <f t="shared" si="8"/>
        <v>4</v>
      </c>
      <c r="C149" s="7">
        <v>177</v>
      </c>
      <c r="D149" s="8">
        <v>0.22152777777777777</v>
      </c>
      <c r="E149" s="7">
        <v>133</v>
      </c>
      <c r="F149" s="8">
        <v>0.48888888888888887</v>
      </c>
      <c r="G149" s="7">
        <v>137</v>
      </c>
      <c r="H149" s="8">
        <v>0.69791666666666663</v>
      </c>
      <c r="J149" s="10" t="str">
        <f t="shared" si="9"/>
        <v>nao</v>
      </c>
      <c r="K149" s="10" t="str">
        <f t="shared" si="10"/>
        <v>nao</v>
      </c>
      <c r="L149" s="10" t="str">
        <f t="shared" si="11"/>
        <v>nao</v>
      </c>
    </row>
    <row r="150" spans="1:12" x14ac:dyDescent="0.3">
      <c r="A150" s="5">
        <v>45960</v>
      </c>
      <c r="B150" s="6">
        <f t="shared" si="8"/>
        <v>5</v>
      </c>
      <c r="C150" s="7">
        <v>0</v>
      </c>
      <c r="E150" s="7">
        <v>121</v>
      </c>
      <c r="F150" s="8">
        <v>0.47708333333333336</v>
      </c>
      <c r="G150" s="7">
        <v>214</v>
      </c>
      <c r="H150" s="8">
        <v>0.70763888888888893</v>
      </c>
      <c r="J150" s="10" t="str">
        <f t="shared" si="9"/>
        <v>nao</v>
      </c>
      <c r="K150" s="10" t="str">
        <f t="shared" si="10"/>
        <v>nao</v>
      </c>
      <c r="L150" s="10" t="str">
        <f t="shared" si="11"/>
        <v>nao</v>
      </c>
    </row>
    <row r="151" spans="1:12" x14ac:dyDescent="0.3">
      <c r="A151" s="5">
        <v>45961</v>
      </c>
      <c r="B151" s="6">
        <f t="shared" si="8"/>
        <v>6</v>
      </c>
      <c r="C151" s="7">
        <v>172</v>
      </c>
      <c r="D151" s="8">
        <v>0.22569444444444445</v>
      </c>
      <c r="E151" s="7">
        <v>148</v>
      </c>
      <c r="F151" s="8">
        <v>0.50347222222222221</v>
      </c>
      <c r="G151" s="7">
        <v>0</v>
      </c>
      <c r="J151" s="10" t="str">
        <f t="shared" si="9"/>
        <v>nao</v>
      </c>
      <c r="K151" s="10" t="str">
        <f t="shared" si="10"/>
        <v>nao</v>
      </c>
      <c r="L151" s="10" t="str">
        <f t="shared" si="11"/>
        <v>nao</v>
      </c>
    </row>
    <row r="152" spans="1:12" x14ac:dyDescent="0.3">
      <c r="A152" s="5">
        <v>45962</v>
      </c>
      <c r="B152" s="6">
        <f t="shared" si="8"/>
        <v>7</v>
      </c>
      <c r="C152" s="7">
        <v>226</v>
      </c>
      <c r="D152" s="8">
        <v>0.27777777777777779</v>
      </c>
      <c r="E152" s="7">
        <v>206</v>
      </c>
      <c r="F152" s="8">
        <v>0.48402777777777778</v>
      </c>
      <c r="G152" s="7">
        <v>0</v>
      </c>
      <c r="J152" s="10" t="str">
        <f t="shared" si="9"/>
        <v>sim</v>
      </c>
      <c r="K152" s="10" t="str">
        <f t="shared" si="10"/>
        <v>nao</v>
      </c>
      <c r="L152" s="10" t="str">
        <f t="shared" si="11"/>
        <v>sim</v>
      </c>
    </row>
    <row r="153" spans="1:12" x14ac:dyDescent="0.3">
      <c r="A153" s="5">
        <v>45963</v>
      </c>
      <c r="B153" s="6">
        <f t="shared" si="8"/>
        <v>1</v>
      </c>
      <c r="C153" s="7">
        <v>277</v>
      </c>
      <c r="D153" s="8">
        <v>0.31111111111111112</v>
      </c>
      <c r="E153" s="7">
        <v>0</v>
      </c>
      <c r="G153" s="7">
        <v>0</v>
      </c>
      <c r="J153" s="10" t="str">
        <f t="shared" si="9"/>
        <v>sim</v>
      </c>
      <c r="K153" s="10" t="str">
        <f t="shared" si="10"/>
        <v>nao</v>
      </c>
      <c r="L153" s="10" t="str">
        <f t="shared" si="11"/>
        <v>nao</v>
      </c>
    </row>
    <row r="154" spans="1:12" x14ac:dyDescent="0.3">
      <c r="A154" s="5">
        <v>45964</v>
      </c>
      <c r="B154" s="6">
        <f t="shared" si="8"/>
        <v>2</v>
      </c>
      <c r="C154" s="7">
        <v>195</v>
      </c>
      <c r="D154" s="8">
        <v>0.21805555555555556</v>
      </c>
      <c r="E154" s="7">
        <v>0</v>
      </c>
      <c r="G154" s="7">
        <v>0</v>
      </c>
      <c r="J154" s="10" t="str">
        <f t="shared" si="9"/>
        <v>sim</v>
      </c>
      <c r="K154" s="10" t="str">
        <f t="shared" si="10"/>
        <v>nao</v>
      </c>
      <c r="L154" s="10" t="str">
        <f t="shared" si="11"/>
        <v>nao</v>
      </c>
    </row>
    <row r="155" spans="1:12" x14ac:dyDescent="0.3">
      <c r="A155" s="5">
        <v>45965</v>
      </c>
      <c r="B155" s="6">
        <f t="shared" si="8"/>
        <v>3</v>
      </c>
      <c r="C155" s="7">
        <v>188</v>
      </c>
      <c r="D155" s="8">
        <v>0.22777777777777777</v>
      </c>
      <c r="E155" s="7">
        <v>160</v>
      </c>
      <c r="F155" s="8">
        <v>0.48680555555555555</v>
      </c>
      <c r="G155" s="7">
        <v>0</v>
      </c>
      <c r="J155" s="10" t="str">
        <f t="shared" si="9"/>
        <v>sim</v>
      </c>
      <c r="K155" s="10" t="str">
        <f t="shared" si="10"/>
        <v>nao</v>
      </c>
      <c r="L155" s="10" t="str">
        <f t="shared" si="11"/>
        <v>nao</v>
      </c>
    </row>
    <row r="156" spans="1:12" x14ac:dyDescent="0.3">
      <c r="A156" s="5">
        <v>45966</v>
      </c>
      <c r="B156" s="6">
        <f t="shared" si="8"/>
        <v>4</v>
      </c>
      <c r="C156" s="7">
        <v>0</v>
      </c>
      <c r="E156" s="7">
        <v>134</v>
      </c>
      <c r="F156" s="8">
        <v>0.49652777777777779</v>
      </c>
      <c r="G156" s="7">
        <v>0</v>
      </c>
      <c r="J156" s="10" t="str">
        <f t="shared" si="9"/>
        <v>nao</v>
      </c>
      <c r="K156" s="10" t="str">
        <f t="shared" si="10"/>
        <v>nao</v>
      </c>
      <c r="L156" s="10" t="str">
        <f t="shared" si="11"/>
        <v>nao</v>
      </c>
    </row>
    <row r="157" spans="1:12" x14ac:dyDescent="0.3">
      <c r="A157" s="5">
        <v>45967</v>
      </c>
      <c r="B157" s="6">
        <f t="shared" si="8"/>
        <v>5</v>
      </c>
      <c r="C157" s="7">
        <v>172</v>
      </c>
      <c r="D157" s="8">
        <v>0.22222222222222221</v>
      </c>
      <c r="E157" s="7">
        <v>111</v>
      </c>
      <c r="F157" s="8">
        <v>0.48194444444444445</v>
      </c>
      <c r="G157" s="7">
        <v>226</v>
      </c>
      <c r="H157" s="8">
        <v>0.71458333333333335</v>
      </c>
      <c r="J157" s="10" t="str">
        <f t="shared" si="9"/>
        <v>nao</v>
      </c>
      <c r="K157" s="10" t="str">
        <f t="shared" si="10"/>
        <v>nao</v>
      </c>
      <c r="L157" s="10" t="str">
        <f t="shared" si="11"/>
        <v>nao</v>
      </c>
    </row>
    <row r="158" spans="1:12" x14ac:dyDescent="0.3">
      <c r="A158" s="5">
        <v>45968</v>
      </c>
      <c r="B158" s="6">
        <f t="shared" si="8"/>
        <v>6</v>
      </c>
      <c r="C158" s="7">
        <v>167</v>
      </c>
      <c r="D158" s="8">
        <v>0.21875</v>
      </c>
      <c r="E158" s="7">
        <v>115</v>
      </c>
      <c r="F158" s="8">
        <v>0.48749999999999999</v>
      </c>
      <c r="G158" s="7">
        <v>173</v>
      </c>
      <c r="H158" s="8">
        <v>0.69513888888888886</v>
      </c>
      <c r="J158" s="10" t="str">
        <f t="shared" si="9"/>
        <v>nao</v>
      </c>
      <c r="K158" s="10" t="str">
        <f t="shared" si="10"/>
        <v>nao</v>
      </c>
      <c r="L158" s="10" t="str">
        <f t="shared" si="11"/>
        <v>nao</v>
      </c>
    </row>
    <row r="159" spans="1:12" x14ac:dyDescent="0.3">
      <c r="A159" s="5">
        <v>45969</v>
      </c>
      <c r="B159" s="6">
        <f t="shared" si="8"/>
        <v>7</v>
      </c>
      <c r="C159" s="7">
        <v>182</v>
      </c>
      <c r="D159" s="8">
        <v>0.24791666666666667</v>
      </c>
      <c r="E159" s="7">
        <v>0</v>
      </c>
      <c r="G159" s="7">
        <v>0</v>
      </c>
      <c r="J159" s="10" t="str">
        <f t="shared" si="9"/>
        <v>sim</v>
      </c>
      <c r="K159" s="10" t="str">
        <f t="shared" si="10"/>
        <v>nao</v>
      </c>
      <c r="L159" s="10" t="str">
        <f t="shared" si="11"/>
        <v>nao</v>
      </c>
    </row>
    <row r="160" spans="1:12" x14ac:dyDescent="0.3">
      <c r="A160" s="5">
        <v>45970</v>
      </c>
      <c r="B160" s="6">
        <f t="shared" si="8"/>
        <v>1</v>
      </c>
      <c r="C160" s="7">
        <v>184</v>
      </c>
      <c r="D160" s="8">
        <v>0.27083333333333331</v>
      </c>
      <c r="E160" s="7">
        <v>207</v>
      </c>
      <c r="F160" s="8">
        <v>0.48541666666666666</v>
      </c>
      <c r="G160" s="7">
        <v>0</v>
      </c>
      <c r="J160" s="10" t="str">
        <f t="shared" si="9"/>
        <v>sim</v>
      </c>
      <c r="K160" s="10" t="str">
        <f t="shared" si="10"/>
        <v>nao</v>
      </c>
      <c r="L160" s="10" t="str">
        <f t="shared" si="11"/>
        <v>sim</v>
      </c>
    </row>
    <row r="161" spans="1:12" x14ac:dyDescent="0.3">
      <c r="A161" s="5">
        <v>45971</v>
      </c>
      <c r="B161" s="6">
        <f t="shared" si="8"/>
        <v>2</v>
      </c>
      <c r="C161" s="7">
        <v>170</v>
      </c>
      <c r="D161" s="8">
        <v>0.22430555555555556</v>
      </c>
      <c r="E161" s="7">
        <v>151</v>
      </c>
      <c r="F161" s="8">
        <v>0.48194444444444445</v>
      </c>
      <c r="G161" s="7">
        <v>0</v>
      </c>
      <c r="J161" s="10" t="str">
        <f t="shared" si="9"/>
        <v>nao</v>
      </c>
      <c r="K161" s="10" t="str">
        <f t="shared" si="10"/>
        <v>nao</v>
      </c>
      <c r="L161" s="10" t="str">
        <f t="shared" si="11"/>
        <v>nao</v>
      </c>
    </row>
    <row r="162" spans="1:12" x14ac:dyDescent="0.3">
      <c r="A162" s="5">
        <v>45972</v>
      </c>
      <c r="B162" s="6">
        <f t="shared" si="8"/>
        <v>3</v>
      </c>
      <c r="C162" s="7">
        <v>169</v>
      </c>
      <c r="D162" s="8">
        <v>0.22430555555555556</v>
      </c>
      <c r="E162" s="7">
        <v>139</v>
      </c>
      <c r="F162" s="8">
        <v>0.50486111111111109</v>
      </c>
      <c r="G162" s="7">
        <v>185</v>
      </c>
      <c r="H162" s="8">
        <v>0.7319444444444444</v>
      </c>
      <c r="J162" s="10" t="str">
        <f t="shared" si="9"/>
        <v>nao</v>
      </c>
      <c r="K162" s="10" t="str">
        <f t="shared" si="10"/>
        <v>nao</v>
      </c>
      <c r="L162" s="10" t="str">
        <f t="shared" si="11"/>
        <v>nao</v>
      </c>
    </row>
    <row r="163" spans="1:12" x14ac:dyDescent="0.3">
      <c r="A163" s="5">
        <v>45973</v>
      </c>
      <c r="B163" s="6">
        <f t="shared" si="8"/>
        <v>4</v>
      </c>
      <c r="C163" s="7">
        <v>234</v>
      </c>
      <c r="D163" s="8">
        <v>0.23958333333333334</v>
      </c>
      <c r="E163" s="7">
        <v>148</v>
      </c>
      <c r="F163" s="8">
        <v>0.4777777777777778</v>
      </c>
      <c r="G163" s="7">
        <v>172</v>
      </c>
      <c r="H163" s="8">
        <v>0.71111111111111114</v>
      </c>
      <c r="I163" s="21" t="s">
        <v>0</v>
      </c>
      <c r="J163" s="10" t="str">
        <f t="shared" si="9"/>
        <v>sim</v>
      </c>
      <c r="K163" s="10" t="str">
        <f t="shared" si="10"/>
        <v>nao</v>
      </c>
      <c r="L163" s="10" t="str">
        <f t="shared" si="11"/>
        <v>nao</v>
      </c>
    </row>
    <row r="164" spans="1:12" x14ac:dyDescent="0.3">
      <c r="A164" s="5">
        <v>45974</v>
      </c>
      <c r="B164" s="6">
        <f t="shared" si="8"/>
        <v>5</v>
      </c>
      <c r="C164" s="7">
        <v>160</v>
      </c>
      <c r="D164" s="8">
        <v>0.21875</v>
      </c>
      <c r="E164" s="7">
        <v>119</v>
      </c>
      <c r="F164" s="8">
        <v>0.48333333333333334</v>
      </c>
      <c r="G164" s="7">
        <v>183</v>
      </c>
      <c r="H164" s="8">
        <v>0.79513888888888884</v>
      </c>
      <c r="J164" s="10" t="str">
        <f t="shared" si="9"/>
        <v>nao</v>
      </c>
      <c r="K164" s="10" t="str">
        <f t="shared" si="10"/>
        <v>nao</v>
      </c>
      <c r="L164" s="10" t="str">
        <f t="shared" si="11"/>
        <v>nao</v>
      </c>
    </row>
    <row r="165" spans="1:12" x14ac:dyDescent="0.3">
      <c r="A165" s="5">
        <v>45975</v>
      </c>
      <c r="B165" s="6">
        <f t="shared" si="8"/>
        <v>6</v>
      </c>
      <c r="C165" s="7">
        <v>160</v>
      </c>
      <c r="D165" s="8">
        <v>0.22847222222222222</v>
      </c>
      <c r="E165" s="7">
        <v>107</v>
      </c>
      <c r="F165" s="8">
        <v>0.5</v>
      </c>
      <c r="G165" s="7">
        <v>208</v>
      </c>
      <c r="H165" s="8">
        <v>0.78333333333333333</v>
      </c>
      <c r="J165" s="10" t="str">
        <f t="shared" si="9"/>
        <v>nao</v>
      </c>
      <c r="K165" s="10" t="str">
        <f t="shared" si="10"/>
        <v>nao</v>
      </c>
      <c r="L165" s="10" t="str">
        <f t="shared" si="11"/>
        <v>nao</v>
      </c>
    </row>
    <row r="166" spans="1:12" x14ac:dyDescent="0.3">
      <c r="A166" s="5">
        <v>45976</v>
      </c>
      <c r="B166" s="6">
        <f t="shared" si="8"/>
        <v>7</v>
      </c>
      <c r="C166" s="7">
        <v>176</v>
      </c>
      <c r="D166" s="8">
        <v>0.26180555555555557</v>
      </c>
      <c r="E166" s="7">
        <v>0</v>
      </c>
      <c r="G166" s="7">
        <v>0</v>
      </c>
      <c r="J166" s="10" t="str">
        <f t="shared" si="9"/>
        <v>nao</v>
      </c>
      <c r="K166" s="10" t="str">
        <f t="shared" si="10"/>
        <v>nao</v>
      </c>
      <c r="L166" s="10" t="str">
        <f t="shared" si="11"/>
        <v>nao</v>
      </c>
    </row>
    <row r="167" spans="1:12" x14ac:dyDescent="0.3">
      <c r="A167" s="5">
        <v>45977</v>
      </c>
      <c r="B167" s="6">
        <f t="shared" si="8"/>
        <v>1</v>
      </c>
      <c r="C167" s="7">
        <v>229</v>
      </c>
      <c r="D167" s="8">
        <v>0.27083333333333331</v>
      </c>
      <c r="E167" s="7">
        <v>0</v>
      </c>
      <c r="G167" s="7">
        <v>0</v>
      </c>
      <c r="J167" s="10" t="str">
        <f t="shared" si="9"/>
        <v>sim</v>
      </c>
      <c r="K167" s="10" t="str">
        <f t="shared" si="10"/>
        <v>nao</v>
      </c>
      <c r="L167" s="10" t="str">
        <f t="shared" si="11"/>
        <v>nao</v>
      </c>
    </row>
    <row r="168" spans="1:12" x14ac:dyDescent="0.3">
      <c r="A168" s="5">
        <v>45978</v>
      </c>
      <c r="B168" s="6">
        <f t="shared" si="8"/>
        <v>2</v>
      </c>
      <c r="C168" s="7">
        <v>189</v>
      </c>
      <c r="D168" s="8">
        <v>0.21944444444444444</v>
      </c>
      <c r="E168" s="7">
        <v>131</v>
      </c>
      <c r="F168" s="8">
        <v>0.48749999999999999</v>
      </c>
      <c r="G168" s="7">
        <v>0</v>
      </c>
      <c r="J168" s="10" t="str">
        <f t="shared" si="9"/>
        <v>sim</v>
      </c>
      <c r="K168" s="10" t="str">
        <f t="shared" si="10"/>
        <v>nao</v>
      </c>
      <c r="L168" s="10" t="str">
        <f t="shared" si="11"/>
        <v>nao</v>
      </c>
    </row>
    <row r="169" spans="1:12" x14ac:dyDescent="0.3">
      <c r="A169" s="5">
        <v>45979</v>
      </c>
      <c r="B169" s="6">
        <f t="shared" si="8"/>
        <v>3</v>
      </c>
      <c r="C169" s="7">
        <v>0</v>
      </c>
      <c r="E169" s="7">
        <v>111</v>
      </c>
      <c r="F169" s="8">
        <v>0.49930555555555556</v>
      </c>
      <c r="G169" s="7">
        <v>0</v>
      </c>
      <c r="J169" s="10" t="str">
        <f t="shared" si="9"/>
        <v>nao</v>
      </c>
      <c r="K169" s="10" t="str">
        <f t="shared" si="10"/>
        <v>nao</v>
      </c>
      <c r="L169" s="10" t="str">
        <f t="shared" si="11"/>
        <v>nao</v>
      </c>
    </row>
    <row r="170" spans="1:12" x14ac:dyDescent="0.3">
      <c r="A170" s="5">
        <v>45980</v>
      </c>
      <c r="B170" s="6">
        <f t="shared" si="8"/>
        <v>4</v>
      </c>
      <c r="C170" s="7">
        <v>159</v>
      </c>
      <c r="D170" s="8">
        <v>0.22083333333333333</v>
      </c>
      <c r="E170" s="7">
        <v>141</v>
      </c>
      <c r="F170" s="8">
        <v>0.47916666666666669</v>
      </c>
      <c r="G170" s="7">
        <v>0</v>
      </c>
      <c r="J170" s="10" t="str">
        <f t="shared" si="9"/>
        <v>nao</v>
      </c>
      <c r="K170" s="10" t="str">
        <f t="shared" si="10"/>
        <v>nao</v>
      </c>
      <c r="L170" s="10" t="str">
        <f t="shared" si="11"/>
        <v>nao</v>
      </c>
    </row>
    <row r="171" spans="1:12" x14ac:dyDescent="0.3">
      <c r="A171" s="5">
        <v>45981</v>
      </c>
      <c r="B171" s="6">
        <f t="shared" si="8"/>
        <v>5</v>
      </c>
      <c r="C171" s="7">
        <v>154</v>
      </c>
      <c r="D171" s="8">
        <v>0.21388888888888888</v>
      </c>
      <c r="E171" s="7">
        <v>206</v>
      </c>
      <c r="F171" s="8">
        <v>0.48055555555555557</v>
      </c>
      <c r="G171" s="7">
        <v>164</v>
      </c>
      <c r="H171" s="8">
        <v>0.79027777777777775</v>
      </c>
      <c r="J171" s="10" t="str">
        <f t="shared" si="9"/>
        <v>nao</v>
      </c>
      <c r="K171" s="10" t="str">
        <f t="shared" si="10"/>
        <v>nao</v>
      </c>
      <c r="L171" s="10" t="str">
        <f t="shared" si="11"/>
        <v>sim</v>
      </c>
    </row>
    <row r="172" spans="1:12" x14ac:dyDescent="0.3">
      <c r="A172" s="5">
        <v>45982</v>
      </c>
      <c r="B172" s="6">
        <f t="shared" si="8"/>
        <v>6</v>
      </c>
      <c r="C172" s="7">
        <v>189</v>
      </c>
      <c r="D172" s="8">
        <v>0.2388888888888889</v>
      </c>
      <c r="E172" s="7">
        <v>124</v>
      </c>
      <c r="F172" s="8">
        <v>0.49305555555555558</v>
      </c>
      <c r="G172" s="7">
        <v>141</v>
      </c>
      <c r="H172" s="8">
        <v>0.73124999999999996</v>
      </c>
      <c r="J172" s="10" t="str">
        <f t="shared" si="9"/>
        <v>sim</v>
      </c>
      <c r="K172" s="10" t="str">
        <f t="shared" si="10"/>
        <v>nao</v>
      </c>
      <c r="L172" s="10" t="str">
        <f t="shared" si="11"/>
        <v>nao</v>
      </c>
    </row>
    <row r="173" spans="1:12" x14ac:dyDescent="0.3">
      <c r="A173" s="5">
        <v>45983</v>
      </c>
      <c r="B173" s="6">
        <f t="shared" si="8"/>
        <v>7</v>
      </c>
      <c r="C173" s="7">
        <v>200</v>
      </c>
      <c r="D173" s="8">
        <v>0.23402777777777778</v>
      </c>
      <c r="E173" s="7">
        <v>134</v>
      </c>
      <c r="F173" s="8">
        <v>0.48055555555555557</v>
      </c>
      <c r="G173" s="7">
        <v>0</v>
      </c>
      <c r="J173" s="10" t="str">
        <f t="shared" si="9"/>
        <v>sim</v>
      </c>
      <c r="K173" s="10" t="str">
        <f t="shared" si="10"/>
        <v>nao</v>
      </c>
      <c r="L173" s="10" t="str">
        <f t="shared" si="11"/>
        <v>nao</v>
      </c>
    </row>
    <row r="174" spans="1:12" x14ac:dyDescent="0.3">
      <c r="A174" s="5">
        <v>45984</v>
      </c>
      <c r="B174" s="6">
        <f t="shared" si="8"/>
        <v>1</v>
      </c>
      <c r="C174" s="7">
        <v>216</v>
      </c>
      <c r="D174" s="8">
        <v>0.25694444444444442</v>
      </c>
      <c r="E174" s="7">
        <v>0</v>
      </c>
      <c r="G174" s="7">
        <v>0</v>
      </c>
      <c r="J174" s="10" t="str">
        <f t="shared" si="9"/>
        <v>sim</v>
      </c>
      <c r="K174" s="10" t="str">
        <f t="shared" si="10"/>
        <v>nao</v>
      </c>
      <c r="L174" s="10" t="str">
        <f t="shared" si="11"/>
        <v>nao</v>
      </c>
    </row>
    <row r="175" spans="1:12" x14ac:dyDescent="0.3">
      <c r="A175" s="5">
        <v>45985</v>
      </c>
      <c r="B175" s="6">
        <f t="shared" si="8"/>
        <v>2</v>
      </c>
      <c r="C175" s="7">
        <v>191</v>
      </c>
      <c r="D175" s="8">
        <v>0.22152777777777777</v>
      </c>
      <c r="E175" s="7">
        <v>122</v>
      </c>
      <c r="F175" s="8">
        <v>0.48541666666666666</v>
      </c>
      <c r="G175" s="7">
        <v>0</v>
      </c>
      <c r="J175" s="10" t="str">
        <f t="shared" si="9"/>
        <v>sim</v>
      </c>
      <c r="K175" s="10" t="str">
        <f t="shared" si="10"/>
        <v>nao</v>
      </c>
      <c r="L175" s="10" t="str">
        <f t="shared" si="11"/>
        <v>nao</v>
      </c>
    </row>
    <row r="176" spans="1:12" x14ac:dyDescent="0.3">
      <c r="A176" s="5">
        <v>45986</v>
      </c>
      <c r="B176" s="6">
        <f t="shared" si="8"/>
        <v>3</v>
      </c>
      <c r="C176" s="7">
        <v>0</v>
      </c>
      <c r="E176" s="7">
        <v>107</v>
      </c>
      <c r="F176" s="8">
        <v>0.48749999999999999</v>
      </c>
      <c r="G176" s="7">
        <v>0</v>
      </c>
      <c r="J176" s="10" t="str">
        <f t="shared" si="9"/>
        <v>nao</v>
      </c>
      <c r="K176" s="10" t="str">
        <f t="shared" si="10"/>
        <v>nao</v>
      </c>
      <c r="L176" s="10" t="str">
        <f t="shared" si="11"/>
        <v>nao</v>
      </c>
    </row>
    <row r="177" spans="1:12" x14ac:dyDescent="0.3">
      <c r="A177" s="5">
        <v>45987</v>
      </c>
      <c r="B177" s="6">
        <f t="shared" si="8"/>
        <v>4</v>
      </c>
      <c r="C177" s="7">
        <v>185</v>
      </c>
      <c r="D177" s="8">
        <v>0.22152777777777777</v>
      </c>
      <c r="E177" s="7">
        <v>109</v>
      </c>
      <c r="F177" s="8">
        <v>0.47361111111111109</v>
      </c>
      <c r="G177" s="7">
        <v>154</v>
      </c>
      <c r="H177" s="8">
        <v>0.73472222222222228</v>
      </c>
      <c r="J177" s="10" t="str">
        <f t="shared" si="9"/>
        <v>sim</v>
      </c>
      <c r="K177" s="10" t="str">
        <f t="shared" si="10"/>
        <v>nao</v>
      </c>
      <c r="L177" s="10" t="str">
        <f t="shared" si="11"/>
        <v>nao</v>
      </c>
    </row>
    <row r="178" spans="1:12" x14ac:dyDescent="0.3">
      <c r="A178" s="5">
        <v>45988</v>
      </c>
      <c r="B178" s="6">
        <f t="shared" si="8"/>
        <v>5</v>
      </c>
      <c r="C178" s="7">
        <v>172</v>
      </c>
      <c r="D178" s="8">
        <v>0.22847222222222222</v>
      </c>
      <c r="E178" s="7">
        <v>129</v>
      </c>
      <c r="F178" s="8">
        <v>0.4777777777777778</v>
      </c>
      <c r="G178" s="7">
        <v>0</v>
      </c>
      <c r="J178" s="10" t="str">
        <f t="shared" si="9"/>
        <v>nao</v>
      </c>
      <c r="K178" s="10" t="str">
        <f t="shared" si="10"/>
        <v>nao</v>
      </c>
      <c r="L178" s="10" t="str">
        <f t="shared" si="11"/>
        <v>nao</v>
      </c>
    </row>
    <row r="179" spans="1:12" x14ac:dyDescent="0.3">
      <c r="A179" s="5">
        <v>45989</v>
      </c>
      <c r="B179" s="6">
        <f t="shared" si="8"/>
        <v>6</v>
      </c>
      <c r="C179" s="7">
        <v>172</v>
      </c>
      <c r="D179" s="8">
        <v>0.28541666666666665</v>
      </c>
      <c r="E179" s="7">
        <v>123</v>
      </c>
      <c r="F179" s="8">
        <v>0.47638888888888886</v>
      </c>
      <c r="G179" s="7">
        <v>0</v>
      </c>
      <c r="I179" s="21" t="s">
        <v>40</v>
      </c>
      <c r="J179" s="10" t="str">
        <f t="shared" si="9"/>
        <v>nao</v>
      </c>
      <c r="K179" s="10" t="str">
        <f t="shared" si="10"/>
        <v>nao</v>
      </c>
      <c r="L179" s="10" t="str">
        <f t="shared" si="11"/>
        <v>nao</v>
      </c>
    </row>
    <row r="180" spans="1:12" x14ac:dyDescent="0.3">
      <c r="A180" s="5">
        <v>45990</v>
      </c>
      <c r="B180" s="6">
        <f t="shared" si="8"/>
        <v>7</v>
      </c>
      <c r="C180" s="7">
        <v>0</v>
      </c>
      <c r="E180" s="7">
        <v>0</v>
      </c>
      <c r="G180" s="7">
        <v>0</v>
      </c>
      <c r="J180" s="10" t="str">
        <f t="shared" si="9"/>
        <v>nao</v>
      </c>
      <c r="K180" s="10" t="str">
        <f t="shared" si="10"/>
        <v>nao</v>
      </c>
      <c r="L180" s="10" t="str">
        <f t="shared" si="11"/>
        <v>nao</v>
      </c>
    </row>
    <row r="181" spans="1:12" x14ac:dyDescent="0.3">
      <c r="A181" s="5">
        <v>45991</v>
      </c>
      <c r="B181" s="6">
        <f t="shared" si="8"/>
        <v>1</v>
      </c>
      <c r="C181" s="7">
        <v>195</v>
      </c>
      <c r="D181" s="8">
        <v>0.29722222222222222</v>
      </c>
      <c r="E181" s="7">
        <v>139</v>
      </c>
      <c r="F181" s="8">
        <v>0.48472222222222222</v>
      </c>
      <c r="G181" s="7">
        <v>0</v>
      </c>
      <c r="J181" s="10" t="str">
        <f t="shared" si="9"/>
        <v>sim</v>
      </c>
      <c r="K181" s="10" t="str">
        <f t="shared" si="10"/>
        <v>nao</v>
      </c>
      <c r="L181" s="10" t="str">
        <f t="shared" si="11"/>
        <v>nao</v>
      </c>
    </row>
    <row r="182" spans="1:12" x14ac:dyDescent="0.3">
      <c r="A182" s="5">
        <v>45992</v>
      </c>
      <c r="B182" s="6">
        <f t="shared" si="8"/>
        <v>2</v>
      </c>
      <c r="C182" s="7">
        <v>0</v>
      </c>
      <c r="E182" s="7">
        <v>122</v>
      </c>
      <c r="F182" s="8">
        <v>0.48541666666666666</v>
      </c>
      <c r="G182" s="7">
        <v>161</v>
      </c>
      <c r="H182" s="8">
        <v>0.80277777777777781</v>
      </c>
      <c r="J182" s="10" t="str">
        <f t="shared" si="9"/>
        <v>nao</v>
      </c>
      <c r="K182" s="10" t="str">
        <f t="shared" si="10"/>
        <v>nao</v>
      </c>
      <c r="L182" s="10" t="str">
        <f t="shared" si="11"/>
        <v>nao</v>
      </c>
    </row>
    <row r="183" spans="1:12" x14ac:dyDescent="0.3">
      <c r="A183" s="5">
        <v>45993</v>
      </c>
      <c r="B183" s="6">
        <f t="shared" si="8"/>
        <v>3</v>
      </c>
      <c r="C183" s="7">
        <v>183</v>
      </c>
      <c r="D183" s="8">
        <v>0.21944444444444444</v>
      </c>
      <c r="E183" s="7">
        <v>119</v>
      </c>
      <c r="F183" s="8">
        <v>0.4826388888888889</v>
      </c>
      <c r="G183" s="7">
        <v>0</v>
      </c>
      <c r="J183" s="10" t="str">
        <f t="shared" si="9"/>
        <v>sim</v>
      </c>
      <c r="K183" s="10" t="str">
        <f t="shared" si="10"/>
        <v>nao</v>
      </c>
      <c r="L183" s="10" t="str">
        <f t="shared" si="11"/>
        <v>nao</v>
      </c>
    </row>
    <row r="184" spans="1:12" x14ac:dyDescent="0.3">
      <c r="A184" s="5">
        <v>45994</v>
      </c>
      <c r="B184" s="6">
        <f t="shared" si="8"/>
        <v>4</v>
      </c>
      <c r="C184" s="7">
        <v>149</v>
      </c>
      <c r="D184" s="8">
        <v>0.21944444444444444</v>
      </c>
      <c r="E184" s="7">
        <v>112</v>
      </c>
      <c r="F184" s="8">
        <v>0.48819444444444443</v>
      </c>
      <c r="G184" s="7">
        <v>159</v>
      </c>
      <c r="H184" s="8">
        <v>0.81458333333333333</v>
      </c>
      <c r="J184" s="10" t="str">
        <f t="shared" si="9"/>
        <v>nao</v>
      </c>
      <c r="K184" s="10" t="str">
        <f t="shared" si="10"/>
        <v>nao</v>
      </c>
      <c r="L184" s="10" t="str">
        <f t="shared" si="11"/>
        <v>nao</v>
      </c>
    </row>
    <row r="185" spans="1:12" x14ac:dyDescent="0.3">
      <c r="A185" s="5">
        <v>45995</v>
      </c>
      <c r="B185" s="6">
        <f t="shared" si="8"/>
        <v>5</v>
      </c>
      <c r="C185" s="7">
        <v>159</v>
      </c>
      <c r="D185" s="8">
        <v>0.22708333333333333</v>
      </c>
      <c r="E185" s="7">
        <v>111</v>
      </c>
      <c r="F185" s="8">
        <v>0.47708333333333336</v>
      </c>
      <c r="G185" s="7">
        <v>181</v>
      </c>
      <c r="H185" s="8">
        <v>0.79722222222222228</v>
      </c>
      <c r="J185" s="10" t="str">
        <f t="shared" si="9"/>
        <v>nao</v>
      </c>
      <c r="K185" s="10" t="str">
        <f t="shared" si="10"/>
        <v>nao</v>
      </c>
      <c r="L185" s="10" t="str">
        <f t="shared" si="11"/>
        <v>nao</v>
      </c>
    </row>
    <row r="186" spans="1:12" x14ac:dyDescent="0.3">
      <c r="A186" s="5">
        <v>45996</v>
      </c>
      <c r="B186" s="6">
        <f t="shared" si="8"/>
        <v>6</v>
      </c>
      <c r="C186" s="7">
        <v>0</v>
      </c>
      <c r="E186" s="7">
        <v>103</v>
      </c>
      <c r="F186" s="8">
        <v>0.48888888888888887</v>
      </c>
      <c r="G186" s="7">
        <v>155</v>
      </c>
      <c r="H186" s="8">
        <v>0.79027777777777775</v>
      </c>
      <c r="J186" s="10" t="str">
        <f t="shared" si="9"/>
        <v>nao</v>
      </c>
      <c r="K186" s="10" t="str">
        <f t="shared" si="10"/>
        <v>nao</v>
      </c>
      <c r="L186" s="10" t="str">
        <f t="shared" si="11"/>
        <v>nao</v>
      </c>
    </row>
    <row r="187" spans="1:12" x14ac:dyDescent="0.3">
      <c r="A187" s="5">
        <v>45997</v>
      </c>
      <c r="B187" s="6">
        <f t="shared" si="8"/>
        <v>7</v>
      </c>
      <c r="C187" s="7">
        <v>175</v>
      </c>
      <c r="D187" s="8">
        <v>0.26666666666666666</v>
      </c>
      <c r="E187" s="7">
        <v>122</v>
      </c>
      <c r="F187" s="8">
        <v>0.4861111111111111</v>
      </c>
      <c r="G187" s="7">
        <v>0</v>
      </c>
      <c r="J187" s="10" t="str">
        <f t="shared" si="9"/>
        <v>nao</v>
      </c>
      <c r="K187" s="10" t="str">
        <f t="shared" si="10"/>
        <v>nao</v>
      </c>
      <c r="L187" s="10" t="str">
        <f t="shared" si="11"/>
        <v>nao</v>
      </c>
    </row>
    <row r="188" spans="1:12" x14ac:dyDescent="0.3">
      <c r="A188" s="5">
        <v>45998</v>
      </c>
      <c r="B188" s="6">
        <f t="shared" si="8"/>
        <v>1</v>
      </c>
      <c r="C188" s="7">
        <v>177</v>
      </c>
      <c r="D188" s="8">
        <v>0.26041666666666669</v>
      </c>
      <c r="E188" s="7">
        <v>118</v>
      </c>
      <c r="F188" s="8">
        <v>0.49236111111111114</v>
      </c>
      <c r="G188" s="7">
        <v>160</v>
      </c>
      <c r="H188" s="8">
        <v>0.79861111111111116</v>
      </c>
      <c r="J188" s="10" t="str">
        <f t="shared" si="9"/>
        <v>nao</v>
      </c>
      <c r="K188" s="10" t="str">
        <f t="shared" si="10"/>
        <v>nao</v>
      </c>
      <c r="L188" s="10" t="str">
        <f t="shared" si="11"/>
        <v>nao</v>
      </c>
    </row>
    <row r="189" spans="1:12" x14ac:dyDescent="0.3">
      <c r="A189" s="5">
        <v>45999</v>
      </c>
      <c r="B189" s="6">
        <f t="shared" si="8"/>
        <v>2</v>
      </c>
      <c r="C189" s="7">
        <v>0</v>
      </c>
      <c r="E189" s="7">
        <v>0</v>
      </c>
      <c r="G189" s="7">
        <v>0</v>
      </c>
      <c r="J189" s="10" t="str">
        <f t="shared" si="9"/>
        <v>nao</v>
      </c>
      <c r="K189" s="10" t="str">
        <f t="shared" si="10"/>
        <v>nao</v>
      </c>
      <c r="L189" s="10" t="str">
        <f t="shared" si="11"/>
        <v>nao</v>
      </c>
    </row>
    <row r="190" spans="1:12" ht="33" x14ac:dyDescent="0.3">
      <c r="A190" s="5">
        <v>46000</v>
      </c>
      <c r="B190" s="6">
        <f t="shared" si="8"/>
        <v>3</v>
      </c>
      <c r="C190" s="7">
        <v>0</v>
      </c>
      <c r="E190" s="7">
        <v>100</v>
      </c>
      <c r="F190" s="8">
        <v>0.49236111111111114</v>
      </c>
      <c r="G190" s="7">
        <v>0</v>
      </c>
      <c r="I190" s="21" t="s">
        <v>37</v>
      </c>
      <c r="J190" s="10" t="str">
        <f t="shared" si="9"/>
        <v>nao</v>
      </c>
      <c r="K190" s="10" t="str">
        <f t="shared" si="10"/>
        <v>nao</v>
      </c>
      <c r="L190" s="10" t="str">
        <f t="shared" si="11"/>
        <v>nao</v>
      </c>
    </row>
    <row r="191" spans="1:12" x14ac:dyDescent="0.3">
      <c r="A191" s="5">
        <v>46001</v>
      </c>
      <c r="B191" s="6">
        <f t="shared" si="8"/>
        <v>4</v>
      </c>
      <c r="C191" s="7">
        <v>169</v>
      </c>
      <c r="D191" s="8">
        <v>0.22708333333333333</v>
      </c>
      <c r="E191" s="7">
        <v>111</v>
      </c>
      <c r="F191" s="8">
        <v>0.48888888888888887</v>
      </c>
      <c r="G191" s="7">
        <v>141</v>
      </c>
      <c r="H191" s="8">
        <v>0.79166666666666663</v>
      </c>
      <c r="J191" s="10" t="str">
        <f t="shared" si="9"/>
        <v>nao</v>
      </c>
      <c r="K191" s="10" t="str">
        <f t="shared" si="10"/>
        <v>nao</v>
      </c>
      <c r="L191" s="10" t="str">
        <f t="shared" si="11"/>
        <v>nao</v>
      </c>
    </row>
    <row r="192" spans="1:12" x14ac:dyDescent="0.3">
      <c r="A192" s="5">
        <v>46002</v>
      </c>
      <c r="B192" s="6">
        <f t="shared" si="8"/>
        <v>5</v>
      </c>
      <c r="C192" s="7">
        <v>168</v>
      </c>
      <c r="D192" s="8">
        <v>0.22708333333333333</v>
      </c>
      <c r="E192" s="7">
        <v>99</v>
      </c>
      <c r="F192" s="8">
        <v>0.48541666666666666</v>
      </c>
      <c r="G192" s="7">
        <v>141</v>
      </c>
      <c r="H192" s="8">
        <v>0.8041666666666667</v>
      </c>
      <c r="J192" s="10" t="str">
        <f t="shared" si="9"/>
        <v>nao</v>
      </c>
      <c r="K192" s="10" t="str">
        <f t="shared" si="10"/>
        <v>nao</v>
      </c>
      <c r="L192" s="10" t="str">
        <f t="shared" si="11"/>
        <v>nao</v>
      </c>
    </row>
    <row r="193" spans="1:12" x14ac:dyDescent="0.3">
      <c r="A193" s="5">
        <v>46003</v>
      </c>
      <c r="B193" s="6">
        <f t="shared" si="8"/>
        <v>6</v>
      </c>
      <c r="C193" s="7">
        <v>166</v>
      </c>
      <c r="D193" s="8">
        <v>0.21944444444444444</v>
      </c>
      <c r="E193" s="7">
        <v>111</v>
      </c>
      <c r="F193" s="8">
        <v>0.47638888888888886</v>
      </c>
      <c r="G193" s="7">
        <v>158</v>
      </c>
      <c r="H193" s="8">
        <v>0.79027777777777775</v>
      </c>
      <c r="J193" s="10" t="str">
        <f t="shared" si="9"/>
        <v>nao</v>
      </c>
      <c r="K193" s="10" t="str">
        <f t="shared" si="10"/>
        <v>nao</v>
      </c>
      <c r="L193" s="10" t="str">
        <f t="shared" si="11"/>
        <v>nao</v>
      </c>
    </row>
    <row r="194" spans="1:12" x14ac:dyDescent="0.3">
      <c r="A194" s="5">
        <v>46004</v>
      </c>
      <c r="B194" s="6">
        <f t="shared" ref="B194:B198" si="12">WEEKDAY(A194)</f>
        <v>7</v>
      </c>
      <c r="C194" s="7">
        <v>159</v>
      </c>
      <c r="D194" s="8">
        <v>0.22083333333333333</v>
      </c>
      <c r="E194" s="7">
        <v>131</v>
      </c>
      <c r="F194" s="8">
        <v>0.48819444444444443</v>
      </c>
      <c r="G194" s="7">
        <v>168</v>
      </c>
      <c r="H194" s="8">
        <v>0.80555555555555558</v>
      </c>
      <c r="J194" s="10" t="str">
        <f t="shared" ref="J194:J243" si="13">IF((C194)&gt;=180,"sim","nao")</f>
        <v>nao</v>
      </c>
      <c r="K194" s="10" t="str">
        <f t="shared" ref="K194:K243" si="14">IF((D194)&gt;=180,"sim","nao")</f>
        <v>nao</v>
      </c>
      <c r="L194" s="10" t="str">
        <f t="shared" ref="L194:L243" si="15">IF((E194)&gt;=180,"sim","nao")</f>
        <v>nao</v>
      </c>
    </row>
    <row r="195" spans="1:12" x14ac:dyDescent="0.3">
      <c r="A195" s="5">
        <v>46005</v>
      </c>
      <c r="B195" s="6">
        <f t="shared" si="12"/>
        <v>1</v>
      </c>
      <c r="C195" s="7">
        <v>170</v>
      </c>
      <c r="D195" s="8">
        <v>0.24166666666666667</v>
      </c>
      <c r="E195" s="7">
        <v>110</v>
      </c>
      <c r="F195" s="8">
        <v>0.4777777777777778</v>
      </c>
      <c r="G195" s="7">
        <v>0</v>
      </c>
      <c r="J195" s="10" t="str">
        <f t="shared" si="13"/>
        <v>nao</v>
      </c>
      <c r="K195" s="10" t="str">
        <f t="shared" si="14"/>
        <v>nao</v>
      </c>
      <c r="L195" s="10" t="str">
        <f t="shared" si="15"/>
        <v>nao</v>
      </c>
    </row>
    <row r="196" spans="1:12" x14ac:dyDescent="0.3">
      <c r="A196" s="5">
        <v>46006</v>
      </c>
      <c r="B196" s="6">
        <f t="shared" si="12"/>
        <v>2</v>
      </c>
      <c r="C196" s="7">
        <v>177</v>
      </c>
      <c r="D196" s="8">
        <v>0.21805555555555556</v>
      </c>
      <c r="E196" s="7">
        <v>110</v>
      </c>
      <c r="F196" s="8">
        <v>0.47708333333333336</v>
      </c>
      <c r="G196" s="7">
        <v>176</v>
      </c>
      <c r="H196" s="8">
        <v>0.79027777777777775</v>
      </c>
      <c r="J196" s="10" t="str">
        <f t="shared" si="13"/>
        <v>nao</v>
      </c>
      <c r="K196" s="10" t="str">
        <f t="shared" si="14"/>
        <v>nao</v>
      </c>
      <c r="L196" s="10" t="str">
        <f t="shared" si="15"/>
        <v>nao</v>
      </c>
    </row>
    <row r="197" spans="1:12" x14ac:dyDescent="0.3">
      <c r="A197" s="5">
        <v>46007</v>
      </c>
      <c r="B197" s="6">
        <f t="shared" si="12"/>
        <v>3</v>
      </c>
      <c r="C197" s="7">
        <v>0</v>
      </c>
      <c r="E197" s="7">
        <v>98</v>
      </c>
      <c r="F197" s="8">
        <v>0.49027777777777776</v>
      </c>
      <c r="G197" s="7">
        <v>128</v>
      </c>
      <c r="H197" s="8">
        <v>0.79027777777777775</v>
      </c>
      <c r="J197" s="10" t="str">
        <f t="shared" si="13"/>
        <v>nao</v>
      </c>
      <c r="K197" s="10" t="str">
        <f t="shared" si="14"/>
        <v>nao</v>
      </c>
      <c r="L197" s="10" t="str">
        <f t="shared" si="15"/>
        <v>nao</v>
      </c>
    </row>
    <row r="198" spans="1:12" x14ac:dyDescent="0.3">
      <c r="A198" s="5">
        <v>46008</v>
      </c>
      <c r="B198" s="6">
        <f t="shared" si="12"/>
        <v>4</v>
      </c>
      <c r="C198" s="7">
        <v>148</v>
      </c>
      <c r="D198" s="8">
        <v>0.22361111111111112</v>
      </c>
      <c r="E198" s="7">
        <v>0</v>
      </c>
      <c r="G198" s="7">
        <v>142</v>
      </c>
      <c r="H198" s="8">
        <v>0.79305555555555551</v>
      </c>
      <c r="J198" s="10" t="str">
        <f t="shared" si="13"/>
        <v>nao</v>
      </c>
      <c r="K198" s="10" t="str">
        <f t="shared" si="14"/>
        <v>nao</v>
      </c>
      <c r="L198" s="10" t="str">
        <f t="shared" si="15"/>
        <v>nao</v>
      </c>
    </row>
    <row r="199" spans="1:12" x14ac:dyDescent="0.3">
      <c r="A199" s="5">
        <v>46009</v>
      </c>
      <c r="B199" s="6">
        <f t="shared" ref="B199:B214" si="16">WEEKDAY(A199)</f>
        <v>5</v>
      </c>
      <c r="C199" s="7">
        <v>157</v>
      </c>
      <c r="D199" s="8">
        <v>0.21805555555555556</v>
      </c>
      <c r="E199" s="7">
        <v>113</v>
      </c>
      <c r="F199" s="8">
        <v>0.47569444444444442</v>
      </c>
      <c r="G199" s="7">
        <v>150</v>
      </c>
      <c r="H199" s="8">
        <v>0.79027777777777775</v>
      </c>
      <c r="J199" s="10" t="str">
        <f t="shared" si="13"/>
        <v>nao</v>
      </c>
      <c r="K199" s="10" t="str">
        <f t="shared" si="14"/>
        <v>nao</v>
      </c>
      <c r="L199" s="10" t="str">
        <f t="shared" si="15"/>
        <v>nao</v>
      </c>
    </row>
    <row r="200" spans="1:12" x14ac:dyDescent="0.3">
      <c r="A200" s="5">
        <v>46010</v>
      </c>
      <c r="B200" s="6">
        <f t="shared" si="16"/>
        <v>6</v>
      </c>
      <c r="C200" s="7">
        <v>167</v>
      </c>
      <c r="D200" s="8">
        <v>0.20624999999999999</v>
      </c>
      <c r="J200" s="10" t="str">
        <f t="shared" si="13"/>
        <v>nao</v>
      </c>
      <c r="K200" s="10" t="str">
        <f t="shared" si="14"/>
        <v>nao</v>
      </c>
      <c r="L200" s="10" t="str">
        <f t="shared" si="15"/>
        <v>nao</v>
      </c>
    </row>
    <row r="201" spans="1:12" x14ac:dyDescent="0.3">
      <c r="A201" s="5">
        <v>46011</v>
      </c>
      <c r="B201" s="6">
        <f t="shared" si="16"/>
        <v>7</v>
      </c>
      <c r="C201" s="7">
        <v>167</v>
      </c>
      <c r="D201" s="8">
        <v>0.24861111111111112</v>
      </c>
      <c r="E201" s="7">
        <v>139</v>
      </c>
      <c r="F201" s="8">
        <v>0.47708333333333336</v>
      </c>
      <c r="G201" s="7">
        <v>125</v>
      </c>
      <c r="H201" s="8">
        <v>0.79027777777777775</v>
      </c>
      <c r="J201" s="10" t="str">
        <f t="shared" si="13"/>
        <v>nao</v>
      </c>
      <c r="K201" s="10" t="str">
        <f t="shared" si="14"/>
        <v>nao</v>
      </c>
      <c r="L201" s="10" t="str">
        <f t="shared" si="15"/>
        <v>nao</v>
      </c>
    </row>
    <row r="202" spans="1:12" x14ac:dyDescent="0.3">
      <c r="A202" s="5">
        <v>46012</v>
      </c>
      <c r="B202" s="6">
        <f t="shared" si="16"/>
        <v>1</v>
      </c>
      <c r="C202" s="7">
        <v>160</v>
      </c>
      <c r="D202" s="8">
        <v>0.2722222222222222</v>
      </c>
      <c r="E202" s="7">
        <v>0</v>
      </c>
      <c r="G202" s="7">
        <v>0</v>
      </c>
      <c r="J202" s="10" t="str">
        <f t="shared" si="13"/>
        <v>nao</v>
      </c>
      <c r="K202" s="10" t="str">
        <f t="shared" si="14"/>
        <v>nao</v>
      </c>
      <c r="L202" s="10" t="str">
        <f t="shared" si="15"/>
        <v>nao</v>
      </c>
    </row>
    <row r="203" spans="1:12" x14ac:dyDescent="0.3">
      <c r="A203" s="5">
        <v>46013</v>
      </c>
      <c r="B203" s="6">
        <f t="shared" si="16"/>
        <v>2</v>
      </c>
      <c r="C203" s="7">
        <v>0</v>
      </c>
      <c r="E203" s="7">
        <v>124</v>
      </c>
      <c r="F203" s="8">
        <v>0.47708333333333336</v>
      </c>
      <c r="G203" s="7">
        <v>144</v>
      </c>
      <c r="H203" s="8">
        <v>0.7895833333333333</v>
      </c>
      <c r="J203" s="10" t="str">
        <f t="shared" si="13"/>
        <v>nao</v>
      </c>
      <c r="K203" s="10" t="str">
        <f t="shared" si="14"/>
        <v>nao</v>
      </c>
      <c r="L203" s="10" t="str">
        <f t="shared" si="15"/>
        <v>nao</v>
      </c>
    </row>
    <row r="204" spans="1:12" x14ac:dyDescent="0.3">
      <c r="A204" s="5">
        <v>46014</v>
      </c>
      <c r="B204" s="6">
        <f t="shared" si="16"/>
        <v>3</v>
      </c>
      <c r="C204" s="7">
        <v>158</v>
      </c>
      <c r="D204" s="8">
        <v>0.21041666666666667</v>
      </c>
      <c r="E204" s="7">
        <v>125</v>
      </c>
      <c r="F204" s="8">
        <v>0.4777777777777778</v>
      </c>
      <c r="G204" s="7">
        <v>123</v>
      </c>
      <c r="H204" s="8">
        <v>0.79166666666666663</v>
      </c>
      <c r="J204" s="10" t="str">
        <f t="shared" si="13"/>
        <v>nao</v>
      </c>
      <c r="K204" s="10" t="str">
        <f t="shared" si="14"/>
        <v>nao</v>
      </c>
      <c r="L204" s="10" t="str">
        <f t="shared" si="15"/>
        <v>nao</v>
      </c>
    </row>
    <row r="205" spans="1:12" x14ac:dyDescent="0.3">
      <c r="A205" s="5">
        <v>46015</v>
      </c>
      <c r="B205" s="6">
        <f t="shared" si="16"/>
        <v>4</v>
      </c>
      <c r="C205" s="7">
        <v>137</v>
      </c>
      <c r="D205" s="8">
        <v>0.21666666666666667</v>
      </c>
      <c r="E205" s="7">
        <v>105</v>
      </c>
      <c r="F205" s="8">
        <v>0.4777777777777778</v>
      </c>
      <c r="G205" s="7">
        <v>0</v>
      </c>
      <c r="J205" s="10" t="str">
        <f t="shared" si="13"/>
        <v>nao</v>
      </c>
      <c r="K205" s="10" t="str">
        <f t="shared" si="14"/>
        <v>nao</v>
      </c>
      <c r="L205" s="10" t="str">
        <f t="shared" si="15"/>
        <v>nao</v>
      </c>
    </row>
    <row r="206" spans="1:12" x14ac:dyDescent="0.3">
      <c r="A206" s="5">
        <v>46016</v>
      </c>
      <c r="B206" s="6">
        <f t="shared" si="16"/>
        <v>5</v>
      </c>
      <c r="C206" s="7">
        <v>173</v>
      </c>
      <c r="D206" s="8">
        <v>0.21805555555555556</v>
      </c>
      <c r="E206" s="7">
        <v>0</v>
      </c>
      <c r="G206" s="7">
        <v>0</v>
      </c>
      <c r="J206" s="10" t="str">
        <f t="shared" si="13"/>
        <v>nao</v>
      </c>
      <c r="K206" s="10" t="str">
        <f t="shared" si="14"/>
        <v>nao</v>
      </c>
      <c r="L206" s="10" t="str">
        <f t="shared" si="15"/>
        <v>nao</v>
      </c>
    </row>
    <row r="207" spans="1:12" x14ac:dyDescent="0.3">
      <c r="A207" s="5">
        <v>46017</v>
      </c>
      <c r="B207" s="6">
        <f t="shared" si="16"/>
        <v>6</v>
      </c>
      <c r="C207" s="7">
        <v>145</v>
      </c>
      <c r="D207" s="8">
        <v>0.2902777777777778</v>
      </c>
      <c r="E207" s="7">
        <v>0</v>
      </c>
      <c r="G207" s="7">
        <v>0</v>
      </c>
      <c r="J207" s="10" t="str">
        <f t="shared" si="13"/>
        <v>nao</v>
      </c>
      <c r="K207" s="10" t="str">
        <f t="shared" si="14"/>
        <v>nao</v>
      </c>
      <c r="L207" s="10" t="str">
        <f t="shared" si="15"/>
        <v>nao</v>
      </c>
    </row>
    <row r="208" spans="1:12" x14ac:dyDescent="0.3">
      <c r="A208" s="5">
        <v>46018</v>
      </c>
      <c r="B208" s="6">
        <f t="shared" si="16"/>
        <v>7</v>
      </c>
      <c r="C208" s="7">
        <v>161</v>
      </c>
      <c r="D208" s="8">
        <v>0.29166666666666669</v>
      </c>
      <c r="E208" s="7">
        <v>144</v>
      </c>
      <c r="F208" s="8">
        <v>0.4909722222222222</v>
      </c>
      <c r="J208" s="10" t="str">
        <f t="shared" si="13"/>
        <v>nao</v>
      </c>
      <c r="K208" s="10" t="str">
        <f t="shared" si="14"/>
        <v>nao</v>
      </c>
      <c r="L208" s="10" t="str">
        <f t="shared" si="15"/>
        <v>nao</v>
      </c>
    </row>
    <row r="209" spans="1:12" x14ac:dyDescent="0.3">
      <c r="A209" s="5">
        <v>46019</v>
      </c>
      <c r="B209" s="6">
        <f t="shared" si="16"/>
        <v>1</v>
      </c>
      <c r="C209" s="7">
        <v>169</v>
      </c>
      <c r="D209" s="8">
        <v>0.31527777777777777</v>
      </c>
      <c r="E209" s="7">
        <v>148</v>
      </c>
      <c r="F209" s="8">
        <v>0.47708333333333336</v>
      </c>
      <c r="G209" s="7">
        <v>125</v>
      </c>
      <c r="H209" s="8">
        <v>0.79791666666666672</v>
      </c>
      <c r="J209" s="10" t="str">
        <f t="shared" si="13"/>
        <v>nao</v>
      </c>
      <c r="K209" s="10" t="str">
        <f t="shared" si="14"/>
        <v>nao</v>
      </c>
      <c r="L209" s="10" t="str">
        <f t="shared" si="15"/>
        <v>nao</v>
      </c>
    </row>
    <row r="210" spans="1:12" x14ac:dyDescent="0.3">
      <c r="A210" s="5">
        <v>46020</v>
      </c>
      <c r="B210" s="6">
        <f t="shared" si="16"/>
        <v>2</v>
      </c>
      <c r="C210" s="7">
        <v>147</v>
      </c>
      <c r="D210" s="8">
        <v>0.21944444444444444</v>
      </c>
      <c r="E210" s="7">
        <v>0</v>
      </c>
      <c r="G210" s="7">
        <v>163</v>
      </c>
      <c r="H210" s="8">
        <v>0.80277777777777781</v>
      </c>
      <c r="J210" s="10" t="str">
        <f t="shared" si="13"/>
        <v>nao</v>
      </c>
      <c r="K210" s="10" t="str">
        <f t="shared" si="14"/>
        <v>nao</v>
      </c>
      <c r="L210" s="10" t="str">
        <f t="shared" si="15"/>
        <v>nao</v>
      </c>
    </row>
    <row r="211" spans="1:12" x14ac:dyDescent="0.3">
      <c r="A211" s="5">
        <v>46021</v>
      </c>
      <c r="B211" s="6">
        <f t="shared" si="16"/>
        <v>3</v>
      </c>
      <c r="C211" s="7">
        <v>0</v>
      </c>
      <c r="E211" s="7">
        <v>120</v>
      </c>
      <c r="F211" s="8">
        <v>0.4777777777777778</v>
      </c>
      <c r="G211" s="7">
        <v>130</v>
      </c>
      <c r="H211" s="8">
        <v>0.79305555555555551</v>
      </c>
      <c r="J211" s="10" t="str">
        <f t="shared" si="13"/>
        <v>nao</v>
      </c>
      <c r="K211" s="10" t="str">
        <f t="shared" si="14"/>
        <v>nao</v>
      </c>
      <c r="L211" s="10" t="str">
        <f t="shared" si="15"/>
        <v>nao</v>
      </c>
    </row>
    <row r="212" spans="1:12" x14ac:dyDescent="0.3">
      <c r="A212" s="5">
        <v>46022</v>
      </c>
      <c r="B212" s="6">
        <f t="shared" si="16"/>
        <v>4</v>
      </c>
      <c r="C212" s="7">
        <v>180</v>
      </c>
      <c r="D212" s="8">
        <v>0.2326388888888889</v>
      </c>
      <c r="E212" s="7">
        <v>121</v>
      </c>
      <c r="F212" s="8">
        <v>0.47708333333333336</v>
      </c>
      <c r="I212" s="21" t="s">
        <v>41</v>
      </c>
      <c r="J212" s="10" t="str">
        <f t="shared" si="13"/>
        <v>sim</v>
      </c>
      <c r="K212" s="10" t="str">
        <f t="shared" si="14"/>
        <v>nao</v>
      </c>
      <c r="L212" s="10" t="str">
        <f t="shared" si="15"/>
        <v>nao</v>
      </c>
    </row>
    <row r="213" spans="1:12" x14ac:dyDescent="0.3">
      <c r="A213" s="5">
        <v>46023</v>
      </c>
      <c r="B213" s="6">
        <f t="shared" si="16"/>
        <v>5</v>
      </c>
      <c r="C213" s="7">
        <v>165</v>
      </c>
      <c r="D213" s="8">
        <v>0.30555555555555558</v>
      </c>
      <c r="E213" s="7">
        <v>119</v>
      </c>
      <c r="F213" s="8">
        <v>0.47569444444444442</v>
      </c>
      <c r="G213" s="7">
        <v>129</v>
      </c>
      <c r="H213" s="8">
        <v>0.79166666666666663</v>
      </c>
      <c r="J213" s="10" t="str">
        <f t="shared" si="13"/>
        <v>nao</v>
      </c>
      <c r="K213" s="10" t="str">
        <f t="shared" si="14"/>
        <v>nao</v>
      </c>
      <c r="L213" s="10" t="str">
        <f t="shared" si="15"/>
        <v>nao</v>
      </c>
    </row>
    <row r="214" spans="1:12" x14ac:dyDescent="0.3">
      <c r="A214" s="5">
        <v>46024</v>
      </c>
      <c r="B214" s="6">
        <f t="shared" si="16"/>
        <v>6</v>
      </c>
      <c r="C214" s="7">
        <v>145</v>
      </c>
      <c r="D214" s="8">
        <v>0.23958333333333334</v>
      </c>
      <c r="E214" s="7">
        <v>107</v>
      </c>
      <c r="F214" s="8">
        <v>0.47708333333333336</v>
      </c>
      <c r="J214" s="10" t="str">
        <f t="shared" si="13"/>
        <v>nao</v>
      </c>
      <c r="K214" s="10" t="str">
        <f t="shared" si="14"/>
        <v>nao</v>
      </c>
      <c r="L214" s="10" t="str">
        <f t="shared" si="15"/>
        <v>nao</v>
      </c>
    </row>
    <row r="215" spans="1:12" x14ac:dyDescent="0.3">
      <c r="A215" s="5">
        <v>46025</v>
      </c>
      <c r="B215" s="6">
        <f t="shared" ref="B215:B243" si="17">WEEKDAY(A215)</f>
        <v>7</v>
      </c>
      <c r="J215" s="10" t="str">
        <f t="shared" si="13"/>
        <v>nao</v>
      </c>
      <c r="K215" s="10" t="str">
        <f t="shared" si="14"/>
        <v>nao</v>
      </c>
      <c r="L215" s="10" t="str">
        <f t="shared" si="15"/>
        <v>nao</v>
      </c>
    </row>
    <row r="216" spans="1:12" x14ac:dyDescent="0.3">
      <c r="A216" s="5">
        <v>46026</v>
      </c>
      <c r="B216" s="6">
        <f t="shared" si="17"/>
        <v>1</v>
      </c>
      <c r="J216" s="10" t="str">
        <f t="shared" si="13"/>
        <v>nao</v>
      </c>
      <c r="K216" s="10" t="str">
        <f t="shared" si="14"/>
        <v>nao</v>
      </c>
      <c r="L216" s="10" t="str">
        <f t="shared" si="15"/>
        <v>nao</v>
      </c>
    </row>
    <row r="217" spans="1:12" x14ac:dyDescent="0.3">
      <c r="A217" s="5">
        <v>46027</v>
      </c>
      <c r="B217" s="6">
        <f t="shared" si="17"/>
        <v>2</v>
      </c>
      <c r="J217" s="10" t="str">
        <f t="shared" si="13"/>
        <v>nao</v>
      </c>
      <c r="K217" s="10" t="str">
        <f t="shared" si="14"/>
        <v>nao</v>
      </c>
      <c r="L217" s="10" t="str">
        <f t="shared" si="15"/>
        <v>nao</v>
      </c>
    </row>
    <row r="218" spans="1:12" x14ac:dyDescent="0.3">
      <c r="A218" s="5">
        <v>46028</v>
      </c>
      <c r="B218" s="6">
        <f t="shared" si="17"/>
        <v>3</v>
      </c>
      <c r="J218" s="10" t="str">
        <f t="shared" si="13"/>
        <v>nao</v>
      </c>
      <c r="K218" s="10" t="str">
        <f t="shared" si="14"/>
        <v>nao</v>
      </c>
      <c r="L218" s="10" t="str">
        <f t="shared" si="15"/>
        <v>nao</v>
      </c>
    </row>
    <row r="219" spans="1:12" x14ac:dyDescent="0.3">
      <c r="A219" s="5">
        <v>46029</v>
      </c>
      <c r="B219" s="6">
        <f t="shared" si="17"/>
        <v>4</v>
      </c>
      <c r="J219" s="10" t="str">
        <f t="shared" si="13"/>
        <v>nao</v>
      </c>
      <c r="K219" s="10" t="str">
        <f t="shared" si="14"/>
        <v>nao</v>
      </c>
      <c r="L219" s="10" t="str">
        <f t="shared" si="15"/>
        <v>nao</v>
      </c>
    </row>
    <row r="220" spans="1:12" x14ac:dyDescent="0.3">
      <c r="A220" s="5">
        <v>46030</v>
      </c>
      <c r="B220" s="6">
        <f t="shared" si="17"/>
        <v>5</v>
      </c>
      <c r="J220" s="10" t="str">
        <f t="shared" si="13"/>
        <v>nao</v>
      </c>
      <c r="K220" s="10" t="str">
        <f t="shared" si="14"/>
        <v>nao</v>
      </c>
      <c r="L220" s="10" t="str">
        <f t="shared" si="15"/>
        <v>nao</v>
      </c>
    </row>
    <row r="221" spans="1:12" x14ac:dyDescent="0.3">
      <c r="A221" s="5">
        <v>46031</v>
      </c>
      <c r="B221" s="6">
        <f t="shared" si="17"/>
        <v>6</v>
      </c>
      <c r="J221" s="10" t="str">
        <f t="shared" si="13"/>
        <v>nao</v>
      </c>
      <c r="K221" s="10" t="str">
        <f t="shared" si="14"/>
        <v>nao</v>
      </c>
      <c r="L221" s="10" t="str">
        <f t="shared" si="15"/>
        <v>nao</v>
      </c>
    </row>
    <row r="222" spans="1:12" x14ac:dyDescent="0.3">
      <c r="A222" s="5">
        <v>46032</v>
      </c>
      <c r="B222" s="6">
        <f t="shared" si="17"/>
        <v>7</v>
      </c>
      <c r="J222" s="10" t="str">
        <f t="shared" si="13"/>
        <v>nao</v>
      </c>
      <c r="K222" s="10" t="str">
        <f t="shared" si="14"/>
        <v>nao</v>
      </c>
      <c r="L222" s="10" t="str">
        <f t="shared" si="15"/>
        <v>nao</v>
      </c>
    </row>
    <row r="223" spans="1:12" x14ac:dyDescent="0.3">
      <c r="A223" s="5">
        <v>46033</v>
      </c>
      <c r="B223" s="6">
        <f t="shared" si="17"/>
        <v>1</v>
      </c>
      <c r="J223" s="10" t="str">
        <f t="shared" si="13"/>
        <v>nao</v>
      </c>
      <c r="K223" s="10" t="str">
        <f t="shared" si="14"/>
        <v>nao</v>
      </c>
      <c r="L223" s="10" t="str">
        <f t="shared" si="15"/>
        <v>nao</v>
      </c>
    </row>
    <row r="224" spans="1:12" x14ac:dyDescent="0.3">
      <c r="A224" s="5">
        <v>46034</v>
      </c>
      <c r="B224" s="6">
        <f t="shared" si="17"/>
        <v>2</v>
      </c>
      <c r="J224" s="10" t="str">
        <f t="shared" si="13"/>
        <v>nao</v>
      </c>
      <c r="K224" s="10" t="str">
        <f t="shared" si="14"/>
        <v>nao</v>
      </c>
      <c r="L224" s="10" t="str">
        <f t="shared" si="15"/>
        <v>nao</v>
      </c>
    </row>
    <row r="225" spans="1:12" x14ac:dyDescent="0.3">
      <c r="A225" s="5">
        <v>46035</v>
      </c>
      <c r="B225" s="6">
        <f t="shared" si="17"/>
        <v>3</v>
      </c>
      <c r="J225" s="10" t="str">
        <f t="shared" si="13"/>
        <v>nao</v>
      </c>
      <c r="K225" s="10" t="str">
        <f t="shared" si="14"/>
        <v>nao</v>
      </c>
      <c r="L225" s="10" t="str">
        <f t="shared" si="15"/>
        <v>nao</v>
      </c>
    </row>
    <row r="226" spans="1:12" x14ac:dyDescent="0.3">
      <c r="A226" s="5">
        <v>46036</v>
      </c>
      <c r="B226" s="6">
        <f t="shared" si="17"/>
        <v>4</v>
      </c>
      <c r="J226" s="10" t="str">
        <f t="shared" si="13"/>
        <v>nao</v>
      </c>
      <c r="K226" s="10" t="str">
        <f t="shared" si="14"/>
        <v>nao</v>
      </c>
      <c r="L226" s="10" t="str">
        <f t="shared" si="15"/>
        <v>nao</v>
      </c>
    </row>
    <row r="227" spans="1:12" x14ac:dyDescent="0.3">
      <c r="A227" s="5">
        <v>46037</v>
      </c>
      <c r="B227" s="6">
        <f t="shared" si="17"/>
        <v>5</v>
      </c>
      <c r="J227" s="10" t="str">
        <f t="shared" si="13"/>
        <v>nao</v>
      </c>
      <c r="K227" s="10" t="str">
        <f t="shared" si="14"/>
        <v>nao</v>
      </c>
      <c r="L227" s="10" t="str">
        <f t="shared" si="15"/>
        <v>nao</v>
      </c>
    </row>
    <row r="228" spans="1:12" x14ac:dyDescent="0.3">
      <c r="A228" s="5">
        <v>46038</v>
      </c>
      <c r="B228" s="6">
        <f t="shared" si="17"/>
        <v>6</v>
      </c>
      <c r="J228" s="10" t="str">
        <f t="shared" si="13"/>
        <v>nao</v>
      </c>
      <c r="K228" s="10" t="str">
        <f t="shared" si="14"/>
        <v>nao</v>
      </c>
      <c r="L228" s="10" t="str">
        <f t="shared" si="15"/>
        <v>nao</v>
      </c>
    </row>
    <row r="229" spans="1:12" x14ac:dyDescent="0.3">
      <c r="A229" s="5">
        <v>46039</v>
      </c>
      <c r="B229" s="6">
        <f t="shared" si="17"/>
        <v>7</v>
      </c>
      <c r="J229" s="10" t="str">
        <f t="shared" si="13"/>
        <v>nao</v>
      </c>
      <c r="K229" s="10" t="str">
        <f t="shared" si="14"/>
        <v>nao</v>
      </c>
      <c r="L229" s="10" t="str">
        <f t="shared" si="15"/>
        <v>nao</v>
      </c>
    </row>
    <row r="230" spans="1:12" x14ac:dyDescent="0.3">
      <c r="A230" s="5">
        <v>46040</v>
      </c>
      <c r="B230" s="6">
        <f t="shared" si="17"/>
        <v>1</v>
      </c>
      <c r="J230" s="10" t="str">
        <f t="shared" si="13"/>
        <v>nao</v>
      </c>
      <c r="K230" s="10" t="str">
        <f t="shared" si="14"/>
        <v>nao</v>
      </c>
      <c r="L230" s="10" t="str">
        <f t="shared" si="15"/>
        <v>nao</v>
      </c>
    </row>
    <row r="231" spans="1:12" x14ac:dyDescent="0.3">
      <c r="A231" s="5">
        <v>46041</v>
      </c>
      <c r="B231" s="6">
        <f t="shared" si="17"/>
        <v>2</v>
      </c>
      <c r="J231" s="10" t="str">
        <f t="shared" si="13"/>
        <v>nao</v>
      </c>
      <c r="K231" s="10" t="str">
        <f t="shared" si="14"/>
        <v>nao</v>
      </c>
      <c r="L231" s="10" t="str">
        <f t="shared" si="15"/>
        <v>nao</v>
      </c>
    </row>
    <row r="232" spans="1:12" x14ac:dyDescent="0.3">
      <c r="A232" s="5">
        <v>46042</v>
      </c>
      <c r="B232" s="6">
        <f t="shared" si="17"/>
        <v>3</v>
      </c>
      <c r="J232" s="10" t="str">
        <f t="shared" si="13"/>
        <v>nao</v>
      </c>
      <c r="K232" s="10" t="str">
        <f t="shared" si="14"/>
        <v>nao</v>
      </c>
      <c r="L232" s="10" t="str">
        <f t="shared" si="15"/>
        <v>nao</v>
      </c>
    </row>
    <row r="233" spans="1:12" x14ac:dyDescent="0.3">
      <c r="A233" s="5">
        <v>46043</v>
      </c>
      <c r="B233" s="6">
        <f t="shared" si="17"/>
        <v>4</v>
      </c>
      <c r="J233" s="10" t="str">
        <f t="shared" si="13"/>
        <v>nao</v>
      </c>
      <c r="K233" s="10" t="str">
        <f t="shared" si="14"/>
        <v>nao</v>
      </c>
      <c r="L233" s="10" t="str">
        <f t="shared" si="15"/>
        <v>nao</v>
      </c>
    </row>
    <row r="234" spans="1:12" x14ac:dyDescent="0.3">
      <c r="A234" s="5">
        <v>46044</v>
      </c>
      <c r="B234" s="6">
        <f t="shared" si="17"/>
        <v>5</v>
      </c>
      <c r="J234" s="10" t="str">
        <f t="shared" si="13"/>
        <v>nao</v>
      </c>
      <c r="K234" s="10" t="str">
        <f t="shared" si="14"/>
        <v>nao</v>
      </c>
      <c r="L234" s="10" t="str">
        <f t="shared" si="15"/>
        <v>nao</v>
      </c>
    </row>
    <row r="235" spans="1:12" x14ac:dyDescent="0.3">
      <c r="A235" s="5">
        <v>46045</v>
      </c>
      <c r="B235" s="6">
        <f t="shared" si="17"/>
        <v>6</v>
      </c>
      <c r="J235" s="10" t="str">
        <f t="shared" si="13"/>
        <v>nao</v>
      </c>
      <c r="K235" s="10" t="str">
        <f t="shared" si="14"/>
        <v>nao</v>
      </c>
      <c r="L235" s="10" t="str">
        <f t="shared" si="15"/>
        <v>nao</v>
      </c>
    </row>
    <row r="236" spans="1:12" x14ac:dyDescent="0.3">
      <c r="A236" s="5">
        <v>46046</v>
      </c>
      <c r="B236" s="6">
        <f t="shared" si="17"/>
        <v>7</v>
      </c>
      <c r="J236" s="10" t="str">
        <f t="shared" si="13"/>
        <v>nao</v>
      </c>
      <c r="K236" s="10" t="str">
        <f t="shared" si="14"/>
        <v>nao</v>
      </c>
      <c r="L236" s="10" t="str">
        <f t="shared" si="15"/>
        <v>nao</v>
      </c>
    </row>
    <row r="237" spans="1:12" x14ac:dyDescent="0.3">
      <c r="A237" s="5">
        <v>46047</v>
      </c>
      <c r="B237" s="6">
        <f t="shared" si="17"/>
        <v>1</v>
      </c>
      <c r="J237" s="10" t="str">
        <f t="shared" si="13"/>
        <v>nao</v>
      </c>
      <c r="K237" s="10" t="str">
        <f t="shared" si="14"/>
        <v>nao</v>
      </c>
      <c r="L237" s="10" t="str">
        <f t="shared" si="15"/>
        <v>nao</v>
      </c>
    </row>
    <row r="238" spans="1:12" x14ac:dyDescent="0.3">
      <c r="A238" s="5">
        <v>46048</v>
      </c>
      <c r="B238" s="6">
        <f t="shared" si="17"/>
        <v>2</v>
      </c>
      <c r="J238" s="10" t="str">
        <f t="shared" si="13"/>
        <v>nao</v>
      </c>
      <c r="K238" s="10" t="str">
        <f t="shared" si="14"/>
        <v>nao</v>
      </c>
      <c r="L238" s="10" t="str">
        <f t="shared" si="15"/>
        <v>nao</v>
      </c>
    </row>
    <row r="239" spans="1:12" x14ac:dyDescent="0.3">
      <c r="A239" s="5">
        <v>46049</v>
      </c>
      <c r="B239" s="6">
        <f t="shared" si="17"/>
        <v>3</v>
      </c>
      <c r="J239" s="10" t="str">
        <f t="shared" si="13"/>
        <v>nao</v>
      </c>
      <c r="K239" s="10" t="str">
        <f t="shared" si="14"/>
        <v>nao</v>
      </c>
      <c r="L239" s="10" t="str">
        <f t="shared" si="15"/>
        <v>nao</v>
      </c>
    </row>
    <row r="240" spans="1:12" x14ac:dyDescent="0.3">
      <c r="A240" s="5">
        <v>46050</v>
      </c>
      <c r="B240" s="6">
        <f t="shared" si="17"/>
        <v>4</v>
      </c>
      <c r="J240" s="10" t="str">
        <f t="shared" si="13"/>
        <v>nao</v>
      </c>
      <c r="K240" s="10" t="str">
        <f t="shared" si="14"/>
        <v>nao</v>
      </c>
      <c r="L240" s="10" t="str">
        <f t="shared" si="15"/>
        <v>nao</v>
      </c>
    </row>
    <row r="241" spans="1:12" x14ac:dyDescent="0.3">
      <c r="A241" s="5">
        <v>46051</v>
      </c>
      <c r="B241" s="6">
        <f t="shared" si="17"/>
        <v>5</v>
      </c>
      <c r="J241" s="10" t="str">
        <f t="shared" si="13"/>
        <v>nao</v>
      </c>
      <c r="K241" s="10" t="str">
        <f t="shared" si="14"/>
        <v>nao</v>
      </c>
      <c r="L241" s="10" t="str">
        <f t="shared" si="15"/>
        <v>nao</v>
      </c>
    </row>
    <row r="242" spans="1:12" x14ac:dyDescent="0.3">
      <c r="A242" s="5">
        <v>46052</v>
      </c>
      <c r="B242" s="6">
        <f t="shared" si="17"/>
        <v>6</v>
      </c>
      <c r="J242" s="10" t="str">
        <f t="shared" si="13"/>
        <v>nao</v>
      </c>
      <c r="K242" s="10" t="str">
        <f t="shared" si="14"/>
        <v>nao</v>
      </c>
      <c r="L242" s="10" t="str">
        <f t="shared" si="15"/>
        <v>nao</v>
      </c>
    </row>
    <row r="243" spans="1:12" x14ac:dyDescent="0.3">
      <c r="A243" s="5">
        <v>46053</v>
      </c>
      <c r="B243" s="6">
        <f t="shared" si="17"/>
        <v>7</v>
      </c>
      <c r="J243" s="10" t="str">
        <f t="shared" si="13"/>
        <v>nao</v>
      </c>
      <c r="K243" s="10" t="str">
        <f t="shared" si="14"/>
        <v>nao</v>
      </c>
      <c r="L243" s="10" t="str">
        <f t="shared" si="15"/>
        <v>nao</v>
      </c>
    </row>
  </sheetData>
  <conditionalFormatting sqref="C2:C1048576 E2:E1048576 G2:G1048576">
    <cfRule type="cellIs" dxfId="2" priority="1" operator="greaterThan">
      <formula>180</formula>
    </cfRule>
  </conditionalFormatting>
  <conditionalFormatting sqref="J2:L1048576">
    <cfRule type="cellIs" dxfId="1" priority="2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B9E9-7756-4C70-B76F-582B5B68A9EE}">
  <dimension ref="A1:K8"/>
  <sheetViews>
    <sheetView workbookViewId="0">
      <selection activeCell="K5" sqref="K5"/>
    </sheetView>
  </sheetViews>
  <sheetFormatPr defaultRowHeight="16.5" x14ac:dyDescent="0.3"/>
  <cols>
    <col min="2" max="2" width="13.625" customWidth="1"/>
    <col min="3" max="6" width="9.5" customWidth="1"/>
    <col min="7" max="7" width="9.5" style="10" customWidth="1"/>
    <col min="8" max="8" width="12.125" style="10" bestFit="1" customWidth="1"/>
    <col min="9" max="9" width="9.5" customWidth="1"/>
    <col min="10" max="10" width="13.875" style="10" bestFit="1" customWidth="1"/>
    <col min="11" max="11" width="58.375" bestFit="1" customWidth="1"/>
  </cols>
  <sheetData>
    <row r="1" spans="1:11" ht="33" x14ac:dyDescent="0.3">
      <c r="A1" s="12"/>
      <c r="B1" s="1" t="s">
        <v>16</v>
      </c>
      <c r="C1" s="1" t="s">
        <v>9</v>
      </c>
      <c r="D1" s="1" t="s">
        <v>15</v>
      </c>
      <c r="E1" s="16" t="s">
        <v>10</v>
      </c>
      <c r="F1" s="17" t="s">
        <v>30</v>
      </c>
      <c r="G1" s="1" t="s">
        <v>12</v>
      </c>
      <c r="H1" s="18" t="s">
        <v>13</v>
      </c>
      <c r="I1" s="18" t="s">
        <v>14</v>
      </c>
      <c r="J1" s="19" t="s">
        <v>31</v>
      </c>
      <c r="K1" t="s">
        <v>17</v>
      </c>
    </row>
    <row r="2" spans="1:11" x14ac:dyDescent="0.3">
      <c r="B2" t="s">
        <v>1</v>
      </c>
      <c r="D2" s="11">
        <v>12</v>
      </c>
      <c r="E2" s="11">
        <v>1</v>
      </c>
      <c r="F2" s="10" t="s">
        <v>11</v>
      </c>
      <c r="G2" s="10">
        <f>D2/E2</f>
        <v>12</v>
      </c>
      <c r="H2" s="13">
        <v>21</v>
      </c>
      <c r="I2" s="13">
        <f>H2/E2</f>
        <v>21</v>
      </c>
      <c r="J2" s="20">
        <f t="shared" ref="J2:J8" si="0">$J$1+I2-1</f>
        <v>46043</v>
      </c>
      <c r="K2" s="14" t="s">
        <v>35</v>
      </c>
    </row>
    <row r="3" spans="1:11" x14ac:dyDescent="0.3">
      <c r="B3" t="s">
        <v>2</v>
      </c>
      <c r="C3" s="10">
        <v>2.5</v>
      </c>
      <c r="D3" s="11">
        <v>30</v>
      </c>
      <c r="E3" s="11">
        <v>1</v>
      </c>
      <c r="F3" s="10" t="s">
        <v>11</v>
      </c>
      <c r="G3" s="10">
        <f t="shared" ref="G3:G7" si="1">D3/E3</f>
        <v>30</v>
      </c>
      <c r="H3" s="13">
        <v>88</v>
      </c>
      <c r="I3" s="13">
        <f t="shared" ref="I3:I7" si="2">H3/E3</f>
        <v>88</v>
      </c>
      <c r="J3" s="20">
        <f t="shared" si="0"/>
        <v>46110</v>
      </c>
      <c r="K3" t="s">
        <v>36</v>
      </c>
    </row>
    <row r="4" spans="1:11" x14ac:dyDescent="0.3">
      <c r="B4" t="s">
        <v>3</v>
      </c>
      <c r="C4" s="10">
        <v>5</v>
      </c>
      <c r="D4" s="11">
        <v>90</v>
      </c>
      <c r="E4" s="11">
        <v>1</v>
      </c>
      <c r="F4" s="10" t="s">
        <v>11</v>
      </c>
      <c r="G4" s="10">
        <f t="shared" si="1"/>
        <v>90</v>
      </c>
      <c r="H4" s="13">
        <v>56</v>
      </c>
      <c r="I4" s="13">
        <f t="shared" si="2"/>
        <v>56</v>
      </c>
      <c r="J4" s="20">
        <f t="shared" si="0"/>
        <v>46078</v>
      </c>
      <c r="K4" t="s">
        <v>18</v>
      </c>
    </row>
    <row r="5" spans="1:11" x14ac:dyDescent="0.3">
      <c r="B5" t="s">
        <v>7</v>
      </c>
      <c r="C5" s="9" t="s">
        <v>8</v>
      </c>
      <c r="D5" s="11">
        <v>60</v>
      </c>
      <c r="E5" s="11">
        <v>2</v>
      </c>
      <c r="F5" s="10" t="s">
        <v>11</v>
      </c>
      <c r="G5" s="10">
        <f t="shared" si="1"/>
        <v>30</v>
      </c>
      <c r="H5" s="13">
        <v>60</v>
      </c>
      <c r="I5" s="13">
        <f t="shared" si="2"/>
        <v>30</v>
      </c>
      <c r="J5" s="20">
        <f t="shared" si="0"/>
        <v>46052</v>
      </c>
      <c r="K5" s="14" t="s">
        <v>20</v>
      </c>
    </row>
    <row r="6" spans="1:11" x14ac:dyDescent="0.3">
      <c r="B6" t="s">
        <v>4</v>
      </c>
      <c r="C6" s="9" t="s">
        <v>6</v>
      </c>
      <c r="D6" s="11">
        <v>30</v>
      </c>
      <c r="E6" s="11">
        <v>1</v>
      </c>
      <c r="F6" s="10" t="s">
        <v>11</v>
      </c>
      <c r="G6" s="10">
        <f t="shared" si="1"/>
        <v>30</v>
      </c>
      <c r="H6" s="13">
        <v>11</v>
      </c>
      <c r="I6" s="13">
        <f t="shared" si="2"/>
        <v>11</v>
      </c>
      <c r="J6" s="20">
        <f t="shared" si="0"/>
        <v>46033</v>
      </c>
      <c r="K6" s="14" t="s">
        <v>19</v>
      </c>
    </row>
    <row r="7" spans="1:11" x14ac:dyDescent="0.3">
      <c r="B7" t="s">
        <v>5</v>
      </c>
      <c r="C7" s="10">
        <v>40</v>
      </c>
      <c r="D7" s="11">
        <v>30</v>
      </c>
      <c r="E7" s="11">
        <v>1</v>
      </c>
      <c r="F7" s="10" t="s">
        <v>11</v>
      </c>
      <c r="G7" s="10">
        <f t="shared" si="1"/>
        <v>30</v>
      </c>
      <c r="H7" s="13">
        <v>27</v>
      </c>
      <c r="I7" s="13">
        <f t="shared" si="2"/>
        <v>27</v>
      </c>
      <c r="J7" s="20">
        <f t="shared" si="0"/>
        <v>46049</v>
      </c>
      <c r="K7" s="14" t="s">
        <v>34</v>
      </c>
    </row>
    <row r="8" spans="1:11" x14ac:dyDescent="0.3">
      <c r="B8" t="s">
        <v>32</v>
      </c>
      <c r="C8" s="10">
        <v>10</v>
      </c>
      <c r="D8" s="11">
        <v>30</v>
      </c>
      <c r="E8" s="11">
        <v>1</v>
      </c>
      <c r="F8" s="10" t="s">
        <v>11</v>
      </c>
      <c r="G8" s="10">
        <f>D8/E8</f>
        <v>30</v>
      </c>
      <c r="H8" s="13">
        <v>6</v>
      </c>
      <c r="I8" s="13">
        <f>H8/E8</f>
        <v>6</v>
      </c>
      <c r="J8" s="20">
        <f t="shared" si="0"/>
        <v>46028</v>
      </c>
      <c r="K8" s="14" t="s">
        <v>33</v>
      </c>
    </row>
  </sheetData>
  <conditionalFormatting sqref="I2:I7">
    <cfRule type="cellIs" dxfId="0" priority="1" operator="lessThanOrEqual">
      <formula>10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Glicemia</vt:lpstr>
      <vt:lpstr>Remédios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Maurício Barros</dc:creator>
  <cp:lastModifiedBy>Maurício Barros</cp:lastModifiedBy>
  <dcterms:created xsi:type="dcterms:W3CDTF">2025-06-04T11:50:19Z</dcterms:created>
  <dcterms:modified xsi:type="dcterms:W3CDTF">2026-01-02T14:31:26Z</dcterms:modified>
</cp:coreProperties>
</file>